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VD_Traffic_Converter\"/>
    </mc:Choice>
  </mc:AlternateContent>
  <xr:revisionPtr revIDLastSave="0" documentId="13_ncr:1_{DD67F497-8C78-405F-9C46-11F0901F2A46}" xr6:coauthVersionLast="47" xr6:coauthVersionMax="47" xr10:uidLastSave="{00000000-0000-0000-0000-000000000000}"/>
  <bookViews>
    <workbookView xWindow="28680" yWindow="15" windowWidth="29040" windowHeight="15840" firstSheet="2" activeTab="2" xr2:uid="{A06A4B32-347F-42FE-B904-8A74DC84E0BB}"/>
  </bookViews>
  <sheets>
    <sheet name="第5期整體運輸規劃" sheetId="1" r:id="rId1"/>
    <sheet name="桃園縣整體運輸規劃(100年)" sheetId="2" r:id="rId2"/>
    <sheet name="運研所流量速率關係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CHECK">[2]基本!#REF!</definedName>
    <definedName name="FLOW">#REF!</definedName>
    <definedName name="G_AM">#REF!</definedName>
    <definedName name="G_INFO">#REF!</definedName>
    <definedName name="G_PM">#REF!</definedName>
    <definedName name="GAM">#REF!</definedName>
    <definedName name="GINFO">#REF!</definedName>
    <definedName name="GPM">#REF!</definedName>
    <definedName name="ROADNAME">[3]基本!$I$5,[3]基本!$G$9,[3]基本!$E$5,[3]基本!$G$1</definedName>
    <definedName name="WEEKDAY">[3]基本!$C$6</definedName>
    <definedName name="十">[4]基本!$C$6</definedName>
    <definedName name="五">[5]計算!$Y$3</definedName>
    <definedName name="哈">[5]表!$A$1:$AD$43</definedName>
    <definedName name="時制A">[6]基本時制!$G$9:$I$10,[6]基本時制!$K$9:$M$10,[6]基本時制!#REF!,[6]基本時制!#REF!,[6]基本時制!#REF!</definedName>
    <definedName name="時制B">[6]基本時制!$G$7:$I$10,[6]基本時制!$K$7:$M$10,[6]基本時制!#REF!,[6]基本時制!#REF!,[6]基本時制!#REF!</definedName>
    <definedName name="假日">#REF!</definedName>
    <definedName name="基本">[6]基本!$B$1,[6]基本!$B$2,[6]基本!$B$3,[6]基本!$B$4,[6]基本!$B$7,[6]基本!$B$8,[6]基本!$B$11,[6]基本!$B$12,[6]基本!$B$17,[6]基本!$B$18,[6]基本!$C$17,[6]基本!$C$18,[6]基本!$D$17,[6]基本!$D$18,[6]基本!$E$17,[6]基本!$E$18,[6]基本!$B$22,[6]基本!$B$23,[6]基本!$B$25,[6]基本!$B$24,[6]基本!$B$26,[6]基本!$A$35:$B$38,[6]基本!$A$34,[6]基本!$B$34,[6]基本!$E$34:$F$38,[6]基本!$I$34:$J$38,[6]基本!$A$43:$B$47,[6]基本!$E$43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9" i="1"/>
  <c r="M54" i="4"/>
  <c r="J54" i="4"/>
  <c r="F54" i="4"/>
  <c r="M53" i="4"/>
  <c r="J53" i="4"/>
  <c r="F53" i="4"/>
  <c r="M52" i="4"/>
  <c r="J52" i="4"/>
  <c r="F52" i="4"/>
  <c r="M51" i="4"/>
  <c r="J51" i="4"/>
  <c r="F51" i="4"/>
  <c r="M50" i="4"/>
  <c r="J50" i="4"/>
  <c r="F50" i="4"/>
  <c r="M49" i="4"/>
  <c r="J49" i="4"/>
  <c r="F49" i="4"/>
  <c r="M48" i="4"/>
  <c r="J48" i="4"/>
  <c r="F48" i="4"/>
  <c r="M47" i="4"/>
  <c r="J47" i="4"/>
  <c r="F47" i="4"/>
  <c r="M43" i="4"/>
  <c r="J43" i="4"/>
  <c r="F43" i="4"/>
  <c r="M42" i="4"/>
  <c r="J42" i="4"/>
  <c r="F42" i="4"/>
  <c r="M41" i="4"/>
  <c r="J41" i="4"/>
  <c r="F41" i="4"/>
  <c r="M40" i="4"/>
  <c r="J40" i="4"/>
  <c r="F40" i="4"/>
  <c r="M39" i="4"/>
  <c r="J39" i="4"/>
  <c r="F39" i="4"/>
  <c r="M38" i="4"/>
  <c r="J38" i="4"/>
  <c r="F38" i="4"/>
  <c r="M37" i="4"/>
  <c r="J37" i="4"/>
  <c r="F37" i="4"/>
  <c r="M36" i="4"/>
  <c r="J36" i="4"/>
  <c r="F36" i="4"/>
  <c r="M32" i="4"/>
  <c r="J32" i="4"/>
  <c r="F32" i="4"/>
  <c r="M31" i="4"/>
  <c r="J31" i="4"/>
  <c r="F31" i="4"/>
  <c r="M30" i="4"/>
  <c r="J30" i="4"/>
  <c r="F30" i="4"/>
  <c r="M29" i="4"/>
  <c r="J29" i="4"/>
  <c r="F29" i="4"/>
  <c r="M28" i="4"/>
  <c r="J28" i="4"/>
  <c r="F28" i="4"/>
  <c r="M27" i="4"/>
  <c r="J27" i="4"/>
  <c r="F27" i="4"/>
  <c r="M26" i="4"/>
  <c r="J26" i="4"/>
  <c r="F26" i="4"/>
  <c r="M25" i="4"/>
  <c r="J25" i="4"/>
  <c r="F25" i="4"/>
  <c r="M21" i="4"/>
  <c r="J21" i="4"/>
  <c r="F21" i="4"/>
  <c r="M20" i="4"/>
  <c r="J20" i="4"/>
  <c r="F20" i="4"/>
  <c r="M19" i="4"/>
  <c r="J19" i="4"/>
  <c r="F19" i="4"/>
  <c r="M18" i="4"/>
  <c r="J18" i="4"/>
  <c r="F18" i="4"/>
  <c r="M17" i="4"/>
  <c r="J17" i="4"/>
  <c r="F17" i="4"/>
  <c r="M16" i="4"/>
  <c r="J16" i="4"/>
  <c r="F16" i="4"/>
  <c r="M15" i="4"/>
  <c r="J15" i="4"/>
  <c r="F15" i="4"/>
  <c r="M14" i="4"/>
  <c r="J14" i="4"/>
  <c r="F14" i="4"/>
  <c r="M10" i="4"/>
  <c r="J10" i="4"/>
  <c r="F10" i="4"/>
  <c r="M9" i="4"/>
  <c r="J9" i="4"/>
  <c r="F9" i="4"/>
  <c r="M8" i="4"/>
  <c r="J8" i="4"/>
  <c r="F8" i="4"/>
  <c r="M7" i="4"/>
  <c r="J7" i="4"/>
  <c r="F7" i="4"/>
  <c r="M6" i="4"/>
  <c r="J6" i="4"/>
  <c r="F6" i="4"/>
  <c r="M5" i="4"/>
  <c r="J5" i="4"/>
  <c r="F5" i="4"/>
  <c r="M4" i="4"/>
  <c r="J4" i="4"/>
  <c r="F4" i="4"/>
  <c r="M3" i="4"/>
  <c r="J3" i="4"/>
  <c r="F3" i="4"/>
  <c r="J5" i="2"/>
  <c r="J4" i="2"/>
  <c r="J3" i="2"/>
  <c r="J5" i="1"/>
  <c r="J4" i="1"/>
  <c r="J3" i="1"/>
</calcChain>
</file>

<file path=xl/sharedStrings.xml><?xml version="1.0" encoding="utf-8"?>
<sst xmlns="http://schemas.openxmlformats.org/spreadsheetml/2006/main" count="260" uniqueCount="81">
  <si>
    <t>Level</t>
  </si>
  <si>
    <t>Class</t>
  </si>
  <si>
    <t>說明</t>
  </si>
  <si>
    <t>So</t>
  </si>
  <si>
    <t>α</t>
  </si>
  <si>
    <t>β</t>
  </si>
  <si>
    <r>
      <t xml:space="preserve">主線速限 </t>
    </r>
    <r>
      <rPr>
        <sz val="12"/>
        <color theme="1"/>
        <rFont val="Times New Roman"/>
        <family val="1"/>
      </rPr>
      <t xml:space="preserve">110Km </t>
    </r>
    <r>
      <rPr>
        <sz val="12"/>
        <color theme="1"/>
        <rFont val="標楷體"/>
        <family val="4"/>
        <charset val="136"/>
      </rPr>
      <t>路段</t>
    </r>
  </si>
  <si>
    <r>
      <t xml:space="preserve">主線速限 </t>
    </r>
    <r>
      <rPr>
        <sz val="12"/>
        <color theme="1"/>
        <rFont val="Times New Roman"/>
        <family val="1"/>
      </rPr>
      <t xml:space="preserve">100Km </t>
    </r>
    <r>
      <rPr>
        <sz val="12"/>
        <color theme="1"/>
        <rFont val="標楷體"/>
        <family val="4"/>
        <charset val="136"/>
      </rPr>
      <t>路段</t>
    </r>
  </si>
  <si>
    <r>
      <t xml:space="preserve">主線速限 </t>
    </r>
    <r>
      <rPr>
        <sz val="12"/>
        <color theme="1"/>
        <rFont val="Times New Roman"/>
        <family val="1"/>
      </rPr>
      <t xml:space="preserve">90Km </t>
    </r>
    <r>
      <rPr>
        <sz val="12"/>
        <color theme="1"/>
        <rFont val="標楷體"/>
        <family val="4"/>
        <charset val="136"/>
      </rPr>
      <t>路段</t>
    </r>
  </si>
  <si>
    <r>
      <t xml:space="preserve">主線速限 </t>
    </r>
    <r>
      <rPr>
        <sz val="12"/>
        <color theme="1"/>
        <rFont val="Times New Roman"/>
        <family val="1"/>
      </rPr>
      <t xml:space="preserve">80Km </t>
    </r>
    <r>
      <rPr>
        <sz val="12"/>
        <color theme="1"/>
        <rFont val="標楷體"/>
        <family val="4"/>
        <charset val="136"/>
      </rPr>
      <t>路段</t>
    </r>
    <r>
      <rPr>
        <sz val="12"/>
        <color theme="1"/>
        <rFont val="Times New Roman"/>
        <family val="1"/>
      </rPr>
      <t>*</t>
    </r>
  </si>
  <si>
    <t>隧道</t>
  </si>
  <si>
    <t>國道</t>
  </si>
  <si>
    <t>匝道</t>
  </si>
  <si>
    <t>動線良好</t>
  </si>
  <si>
    <t>動線不佳</t>
  </si>
  <si>
    <t>郊區完全進出管制段</t>
  </si>
  <si>
    <t>郊區部分進出管制段</t>
  </si>
  <si>
    <r>
      <t>市區段</t>
    </r>
    <r>
      <rPr>
        <sz val="12"/>
        <color theme="1"/>
        <rFont val="Times New Roman"/>
        <family val="1"/>
      </rPr>
      <t>*</t>
    </r>
  </si>
  <si>
    <t>快速公路</t>
  </si>
  <si>
    <r>
      <t xml:space="preserve">低干擾 </t>
    </r>
    <r>
      <rPr>
        <sz val="12"/>
        <color theme="1"/>
        <rFont val="Times New Roman"/>
        <family val="1"/>
      </rPr>
      <t xml:space="preserve">1 </t>
    </r>
    <r>
      <rPr>
        <sz val="12"/>
        <color theme="1"/>
        <rFont val="標楷體"/>
        <family val="4"/>
        <charset val="136"/>
      </rPr>
      <t>車道</t>
    </r>
  </si>
  <si>
    <r>
      <t xml:space="preserve">低干擾 </t>
    </r>
    <r>
      <rPr>
        <sz val="12"/>
        <color theme="1"/>
        <rFont val="Times New Roman"/>
        <family val="1"/>
      </rPr>
      <t xml:space="preserve">2 </t>
    </r>
    <r>
      <rPr>
        <sz val="12"/>
        <color theme="1"/>
        <rFont val="標楷體"/>
        <family val="4"/>
        <charset val="136"/>
      </rPr>
      <t>車道</t>
    </r>
  </si>
  <si>
    <r>
      <t xml:space="preserve">低干擾 </t>
    </r>
    <r>
      <rPr>
        <sz val="12"/>
        <color theme="1"/>
        <rFont val="Times New Roman"/>
        <family val="1"/>
      </rPr>
      <t xml:space="preserve">3 </t>
    </r>
    <r>
      <rPr>
        <sz val="12"/>
        <color theme="1"/>
        <rFont val="標楷體"/>
        <family val="4"/>
        <charset val="136"/>
      </rPr>
      <t>車道以上</t>
    </r>
  </si>
  <si>
    <r>
      <t xml:space="preserve">高干擾 </t>
    </r>
    <r>
      <rPr>
        <sz val="12"/>
        <color theme="1"/>
        <rFont val="Times New Roman"/>
        <family val="1"/>
      </rPr>
      <t xml:space="preserve">1 </t>
    </r>
    <r>
      <rPr>
        <sz val="12"/>
        <color theme="1"/>
        <rFont val="標楷體"/>
        <family val="4"/>
        <charset val="136"/>
      </rPr>
      <t>車道</t>
    </r>
  </si>
  <si>
    <r>
      <t xml:space="preserve">高干擾 </t>
    </r>
    <r>
      <rPr>
        <sz val="12"/>
        <color theme="1"/>
        <rFont val="Times New Roman"/>
        <family val="1"/>
      </rPr>
      <t xml:space="preserve">2 </t>
    </r>
    <r>
      <rPr>
        <sz val="12"/>
        <color theme="1"/>
        <rFont val="標楷體"/>
        <family val="4"/>
        <charset val="136"/>
      </rPr>
      <t>車道</t>
    </r>
  </si>
  <si>
    <r>
      <t xml:space="preserve">高干擾 </t>
    </r>
    <r>
      <rPr>
        <sz val="12"/>
        <color theme="1"/>
        <rFont val="Times New Roman"/>
        <family val="1"/>
      </rPr>
      <t xml:space="preserve">3 </t>
    </r>
    <r>
      <rPr>
        <sz val="12"/>
        <color theme="1"/>
        <rFont val="標楷體"/>
        <family val="4"/>
        <charset val="136"/>
      </rPr>
      <t>車道以上</t>
    </r>
  </si>
  <si>
    <r>
      <t xml:space="preserve">山區道路 </t>
    </r>
    <r>
      <rPr>
        <sz val="12"/>
        <color theme="1"/>
        <rFont val="Times New Roman"/>
        <family val="1"/>
      </rPr>
      <t xml:space="preserve">1 </t>
    </r>
    <r>
      <rPr>
        <sz val="12"/>
        <color theme="1"/>
        <rFont val="標楷體"/>
        <family val="4"/>
        <charset val="136"/>
      </rPr>
      <t>車道</t>
    </r>
  </si>
  <si>
    <t>省道</t>
    <phoneticPr fontId="3" type="noConversion"/>
  </si>
  <si>
    <r>
      <t xml:space="preserve">山區道路 </t>
    </r>
    <r>
      <rPr>
        <sz val="12"/>
        <color theme="1"/>
        <rFont val="Times New Roman"/>
        <family val="1"/>
      </rPr>
      <t xml:space="preserve">2 </t>
    </r>
    <r>
      <rPr>
        <sz val="12"/>
        <color theme="1"/>
        <rFont val="標楷體"/>
        <family val="4"/>
        <charset val="136"/>
      </rPr>
      <t>車道以上</t>
    </r>
  </si>
  <si>
    <t>橋樑</t>
  </si>
  <si>
    <r>
      <t>縣道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市道</t>
    </r>
    <phoneticPr fontId="3" type="noConversion"/>
  </si>
  <si>
    <r>
      <t>鄉道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區道</t>
    </r>
    <phoneticPr fontId="3" type="noConversion"/>
  </si>
  <si>
    <r>
      <t xml:space="preserve">山區道路 </t>
    </r>
    <r>
      <rPr>
        <sz val="12"/>
        <color theme="1"/>
        <rFont val="Times New Roman"/>
        <family val="1"/>
      </rPr>
      <t xml:space="preserve">2 </t>
    </r>
    <r>
      <rPr>
        <sz val="12"/>
        <color theme="1"/>
        <rFont val="標楷體"/>
        <family val="4"/>
        <charset val="136"/>
      </rPr>
      <t>車道以上</t>
    </r>
    <phoneticPr fontId="3" type="noConversion"/>
  </si>
  <si>
    <t>市區低干擾</t>
  </si>
  <si>
    <t>市區中干擾</t>
  </si>
  <si>
    <t>市區道路</t>
  </si>
  <si>
    <t>市區高干擾</t>
  </si>
  <si>
    <r>
      <t>郊區平原段道路</t>
    </r>
    <r>
      <rPr>
        <sz val="12"/>
        <color theme="1"/>
        <rFont val="Times New Roman"/>
        <family val="1"/>
      </rPr>
      <t>*</t>
    </r>
  </si>
  <si>
    <r>
      <t>郊區丘陵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山區段道路</t>
    </r>
    <r>
      <rPr>
        <sz val="12"/>
        <color theme="1"/>
        <rFont val="Times New Roman"/>
        <family val="1"/>
      </rPr>
      <t>*</t>
    </r>
  </si>
  <si>
    <t>郊區道路</t>
  </si>
  <si>
    <t>區心連線</t>
  </si>
  <si>
    <t>桃園</t>
    <phoneticPr fontId="3" type="noConversion"/>
  </si>
  <si>
    <r>
      <rPr>
        <sz val="12"/>
        <color theme="1"/>
        <rFont val="新細明體"/>
        <family val="2"/>
        <charset val="136"/>
      </rPr>
      <t>功能分類</t>
    </r>
    <phoneticPr fontId="3" type="noConversion"/>
  </si>
  <si>
    <t>高速公路</t>
    <phoneticPr fontId="3" type="noConversion"/>
  </si>
  <si>
    <t>快速道路</t>
    <phoneticPr fontId="3" type="noConversion"/>
  </si>
  <si>
    <t>匝道</t>
    <phoneticPr fontId="3" type="noConversion"/>
  </si>
  <si>
    <t>市區道路-高干擾</t>
    <phoneticPr fontId="3" type="noConversion"/>
  </si>
  <si>
    <t>市區道路-中干擾</t>
    <phoneticPr fontId="3" type="noConversion"/>
  </si>
  <si>
    <t>市區道路-低干擾</t>
    <phoneticPr fontId="3" type="noConversion"/>
  </si>
  <si>
    <t>市區單行道</t>
    <phoneticPr fontId="3" type="noConversion"/>
  </si>
  <si>
    <t>郊區道路-平原區</t>
    <phoneticPr fontId="3" type="noConversion"/>
  </si>
  <si>
    <t>郊區道路-丘陵區</t>
    <phoneticPr fontId="3" type="noConversion"/>
  </si>
  <si>
    <t>郊區道路-山　區</t>
    <phoneticPr fontId="3" type="noConversion"/>
  </si>
  <si>
    <t>軌道</t>
    <phoneticPr fontId="3" type="noConversion"/>
  </si>
  <si>
    <t>走路連線</t>
    <phoneticPr fontId="3" type="noConversion"/>
  </si>
  <si>
    <t>區心連線</t>
    <phoneticPr fontId="3" type="noConversion"/>
  </si>
  <si>
    <r>
      <t>S</t>
    </r>
    <r>
      <rPr>
        <sz val="8"/>
        <color theme="1"/>
        <rFont val="Times New Roman"/>
        <family val="1"/>
      </rPr>
      <t>0</t>
    </r>
  </si>
  <si>
    <t>功能代碼</t>
  </si>
  <si>
    <t>自由車流速率</t>
  </si>
  <si>
    <t>參數值α</t>
  </si>
  <si>
    <t>參數值β</t>
  </si>
  <si>
    <t>class</t>
    <phoneticPr fontId="3" type="noConversion"/>
  </si>
  <si>
    <t>V/C</t>
    <phoneticPr fontId="3" type="noConversion"/>
  </si>
  <si>
    <t>自由速率Vf</t>
    <phoneticPr fontId="3" type="noConversion"/>
  </si>
  <si>
    <t>流率Q</t>
    <phoneticPr fontId="3" type="noConversion"/>
  </si>
  <si>
    <t>流率Q與速率V之關係</t>
    <phoneticPr fontId="3" type="noConversion"/>
  </si>
  <si>
    <t>速率V</t>
    <phoneticPr fontId="3" type="noConversion"/>
  </si>
  <si>
    <t>容量Qmax</t>
    <phoneticPr fontId="3" type="noConversion"/>
  </si>
  <si>
    <t>臨界速率</t>
    <phoneticPr fontId="3" type="noConversion"/>
  </si>
  <si>
    <t>單車道交通量</t>
    <phoneticPr fontId="3" type="noConversion"/>
  </si>
  <si>
    <t>V=</t>
    <phoneticPr fontId="3" type="noConversion"/>
  </si>
  <si>
    <t>/(1+EXP(-(Q-</t>
    <phoneticPr fontId="3" type="noConversion"/>
  </si>
  <si>
    <t>)))</t>
    <phoneticPr fontId="3" type="noConversion"/>
  </si>
  <si>
    <t>高速公路基本路段</t>
    <phoneticPr fontId="3" type="noConversion"/>
  </si>
  <si>
    <t>2車道平坦路段之代表性流率與速率關係</t>
    <phoneticPr fontId="3" type="noConversion"/>
  </si>
  <si>
    <t>3車道平坦路段之代表性流率與速率關係</t>
    <phoneticPr fontId="3" type="noConversion"/>
  </si>
  <si>
    <t>4車道平坦路段之代表性流率與速率關係</t>
    <phoneticPr fontId="3" type="noConversion"/>
  </si>
  <si>
    <t>2車道且開放路肩平坦路段之代表性流率與速率關係</t>
    <phoneticPr fontId="3" type="noConversion"/>
  </si>
  <si>
    <t>3車道且開放路肩平坦路段之代表性流率與速率關係</t>
    <phoneticPr fontId="3" type="noConversion"/>
  </si>
  <si>
    <t>城際運輸需求模式檢討及參數更新研究（2／3），102年4月</t>
    <phoneticPr fontId="3" type="noConversion"/>
  </si>
  <si>
    <t>第5期整體運輸規劃研究系列-供需預測分析，108年6月</t>
    <phoneticPr fontId="3" type="noConversion"/>
  </si>
  <si>
    <t>桃園縣整體運輸規劃暨發展策略，100年12月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</si>
</sst>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6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</font>
    <font>
      <sz val="12"/>
      <color rgb="FF0070C0"/>
      <name val="新細明體"/>
      <family val="2"/>
      <charset val="136"/>
      <scheme val="minor"/>
    </font>
    <font>
      <sz val="8"/>
      <color theme="1"/>
      <name val="Times New Roman"/>
      <family val="1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9" xfId="0" applyBorder="1">
      <alignment vertical="center"/>
    </xf>
    <xf numFmtId="0" fontId="13" fillId="0" borderId="9" xfId="0" applyFont="1" applyBorder="1">
      <alignment vertical="center"/>
    </xf>
    <xf numFmtId="0" fontId="13" fillId="0" borderId="9" xfId="0" applyFont="1" applyBorder="1" applyAlignment="1">
      <alignment horizontal="right" vertical="center"/>
    </xf>
    <xf numFmtId="0" fontId="0" fillId="0" borderId="8" xfId="0" applyBorder="1">
      <alignment vertical="center"/>
    </xf>
    <xf numFmtId="0" fontId="13" fillId="0" borderId="8" xfId="0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5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4N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2011&#26691;&#22290;4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blic\&#20844;&#29992;&#38651;&#33126;&#36039;&#26009;&#24235;%20(e)\&#36335;&#21475;&#25972;&#29702;&#34920;\Int4N_OL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blic\&#20844;&#29992;&#38651;&#33126;&#36039;&#26009;&#24235;%20(e)\2010%20&#38663;&#23536;%20&#26691;&#22290;\&#26691;&#22290;&#23436;&#25972;&#29256;\&#26691;&#22290;&#38663;&#23536;&#29256;\&#20013;&#22754;&#24066;-&#29872;&#21271;&#36335;~&#26032;&#29983;&#36335;\Int4N_OL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blic\&#20844;&#29992;&#38651;&#33126;&#36039;&#26009;&#24235;%20(e)\2010%20&#38663;&#23536;%20&#26691;&#22290;\&#26691;&#22290;&#23436;&#25972;&#29256;\&#29872;&#21271;&#36335;~&#26032;&#29983;&#36335;(&#26691;&#22290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20121218%20&#38598;&#36066;4N(&#19990;&#26342;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圖"/>
      <sheetName val="基本"/>
      <sheetName val="時制"/>
      <sheetName val="累計"/>
      <sheetName val="平日"/>
      <sheetName val="累計(2)"/>
      <sheetName val="假日"/>
      <sheetName val="計算"/>
      <sheetName val="通用"/>
      <sheetName val="易緯"/>
      <sheetName val="鼎漢"/>
      <sheetName val="鼎漢L"/>
      <sheetName val="美聯"/>
      <sheetName val="世曦"/>
    </sheetNames>
    <sheetDataSet>
      <sheetData sheetId="0"/>
      <sheetData sheetId="1"/>
      <sheetData sheetId="2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計算"/>
      <sheetName val="表4計算"/>
      <sheetName val="時制"/>
      <sheetName val="表"/>
      <sheetName val="圖"/>
      <sheetName val="圖1路口幾何圖"/>
      <sheetName val="表1路口轉向交通量"/>
      <sheetName val="表2尖峰小時交通量"/>
      <sheetName val="表4號誌設置評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時段"/>
      <sheetName val="當量"/>
      <sheetName val="計算OD"/>
      <sheetName val="表OD"/>
      <sheetName val="圖"/>
      <sheetName val="基本格式"/>
      <sheetName val="統計格式"/>
      <sheetName val="圖OD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6">
          <cell r="C6" t="str">
            <v>(Sat)</v>
          </cell>
        </row>
        <row r="9">
          <cell r="G9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時段"/>
      <sheetName val="當量"/>
      <sheetName val="計算OD"/>
      <sheetName val="表OD"/>
      <sheetName val="圖"/>
      <sheetName val="基本格式"/>
      <sheetName val="統計格式"/>
      <sheetName val="圖OD"/>
    </sheetNames>
    <sheetDataSet>
      <sheetData sheetId="0">
        <row r="6">
          <cell r="C6" t="str">
            <v>(Sat)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時制"/>
      <sheetName val="當量"/>
      <sheetName val="計算"/>
      <sheetName val="表"/>
      <sheetName val="圖"/>
      <sheetName val="圖1路口幾何圖"/>
      <sheetName val="表1路口轉向交通量"/>
      <sheetName val="表2尖峰小時交通量"/>
    </sheetNames>
    <sheetDataSet>
      <sheetData sheetId="0"/>
      <sheetData sheetId="1"/>
      <sheetData sheetId="2"/>
      <sheetData sheetId="3"/>
      <sheetData sheetId="4">
        <row r="3">
          <cell r="Y3">
            <v>23433.900000000005</v>
          </cell>
        </row>
      </sheetData>
      <sheetData sheetId="5">
        <row r="1">
          <cell r="B1" t="str">
            <v>站　號：</v>
          </cell>
          <cell r="C1" t="str">
            <v xml:space="preserve"> </v>
          </cell>
          <cell r="K1" t="str">
            <v>站名：</v>
          </cell>
          <cell r="L1" t="str">
            <v>環北路~新生路</v>
          </cell>
          <cell r="Q1" t="str">
            <v>註：</v>
          </cell>
          <cell r="R1" t="str">
            <v>無管制</v>
          </cell>
          <cell r="AA1" t="str">
            <v>新生路</v>
          </cell>
          <cell r="AD1" t="str">
            <v>N</v>
          </cell>
        </row>
        <row r="2">
          <cell r="B2" t="str">
            <v>時相數：</v>
          </cell>
          <cell r="C2" t="str">
            <v>3</v>
          </cell>
          <cell r="K2" t="str">
            <v>日期：</v>
          </cell>
          <cell r="L2" t="str">
            <v>4/16(Fri)</v>
          </cell>
          <cell r="R2" t="str">
            <v/>
          </cell>
          <cell r="AA2" t="str">
            <v>D</v>
          </cell>
          <cell r="AD2" t="str">
            <v>↑</v>
          </cell>
        </row>
        <row r="3">
          <cell r="B3" t="str">
            <v>方　向：</v>
          </cell>
          <cell r="C3" t="str">
            <v>A</v>
          </cell>
          <cell r="D3" t="str">
            <v>B</v>
          </cell>
          <cell r="E3" t="str">
            <v>C</v>
          </cell>
          <cell r="F3" t="str">
            <v>D</v>
          </cell>
          <cell r="K3" t="str">
            <v>天候：</v>
          </cell>
          <cell r="L3" t="str">
            <v>陰</v>
          </cell>
          <cell r="R3" t="str">
            <v/>
          </cell>
          <cell r="Y3" t="str">
            <v>環北路</v>
          </cell>
          <cell r="Z3" t="str">
            <v>C</v>
          </cell>
          <cell r="AB3" t="str">
            <v>A</v>
          </cell>
          <cell r="AC3" t="str">
            <v>環北路</v>
          </cell>
        </row>
        <row r="4">
          <cell r="B4" t="str">
            <v>車道數：</v>
          </cell>
          <cell r="C4" t="str">
            <v>3</v>
          </cell>
          <cell r="D4" t="str">
            <v>2</v>
          </cell>
          <cell r="E4" t="str">
            <v>3</v>
          </cell>
          <cell r="F4" t="str">
            <v>3</v>
          </cell>
          <cell r="R4" t="str">
            <v/>
          </cell>
          <cell r="AA4" t="str">
            <v>B</v>
          </cell>
        </row>
        <row r="5">
          <cell r="AA5" t="str">
            <v>新生路</v>
          </cell>
        </row>
        <row r="7">
          <cell r="A7" t="str">
            <v>方</v>
          </cell>
          <cell r="B7" t="str">
            <v>時</v>
          </cell>
          <cell r="D7" t="str">
            <v>左轉</v>
          </cell>
          <cell r="K7" t="str">
            <v>直進</v>
          </cell>
          <cell r="Q7" t="str">
            <v>右轉</v>
          </cell>
          <cell r="W7" t="str">
            <v>合計</v>
          </cell>
        </row>
        <row r="8">
          <cell r="D8" t="str">
            <v>大型車</v>
          </cell>
          <cell r="E8" t="str">
            <v>小型車</v>
          </cell>
          <cell r="F8" t="str">
            <v>機車</v>
          </cell>
          <cell r="G8" t="str">
            <v>PCU</v>
          </cell>
          <cell r="H8" t="str">
            <v>轉向比</v>
          </cell>
          <cell r="I8" t="str">
            <v>機車二段</v>
          </cell>
          <cell r="K8" t="str">
            <v>大型車</v>
          </cell>
          <cell r="L8" t="str">
            <v>小型車</v>
          </cell>
          <cell r="M8" t="str">
            <v>機車</v>
          </cell>
          <cell r="N8" t="str">
            <v>PCU</v>
          </cell>
          <cell r="O8" t="str">
            <v>轉向比</v>
          </cell>
          <cell r="Q8" t="str">
            <v>大型車</v>
          </cell>
          <cell r="R8" t="str">
            <v>小型車</v>
          </cell>
          <cell r="S8" t="str">
            <v>機車</v>
          </cell>
          <cell r="T8" t="str">
            <v>PCU</v>
          </cell>
          <cell r="U8" t="str">
            <v>轉向比</v>
          </cell>
          <cell r="W8" t="str">
            <v>大型車</v>
          </cell>
          <cell r="X8" t="str">
            <v>車種</v>
          </cell>
          <cell r="Y8" t="str">
            <v>小型車</v>
          </cell>
          <cell r="Z8" t="str">
            <v>車種</v>
          </cell>
          <cell r="AA8" t="str">
            <v>機車</v>
          </cell>
          <cell r="AB8" t="str">
            <v>車種</v>
          </cell>
          <cell r="AC8" t="str">
            <v>PCU</v>
          </cell>
        </row>
        <row r="9">
          <cell r="A9" t="str">
            <v>向</v>
          </cell>
          <cell r="B9" t="str">
            <v>間</v>
          </cell>
          <cell r="D9" t="str">
            <v>(輛)</v>
          </cell>
          <cell r="E9" t="str">
            <v>(輛)</v>
          </cell>
          <cell r="F9" t="str">
            <v>(輛)</v>
          </cell>
          <cell r="I9" t="str">
            <v>(輛)</v>
          </cell>
          <cell r="K9" t="str">
            <v>(輛)</v>
          </cell>
          <cell r="L9" t="str">
            <v>(輛)</v>
          </cell>
          <cell r="M9" t="str">
            <v>(輛)</v>
          </cell>
          <cell r="Q9" t="str">
            <v>(輛)</v>
          </cell>
          <cell r="R9" t="str">
            <v>(輛)</v>
          </cell>
          <cell r="S9" t="str">
            <v>(輛)</v>
          </cell>
          <cell r="W9" t="str">
            <v>(輛)</v>
          </cell>
          <cell r="X9" t="str">
            <v>比例</v>
          </cell>
          <cell r="Y9" t="str">
            <v>(輛)</v>
          </cell>
          <cell r="Z9" t="str">
            <v>比例</v>
          </cell>
          <cell r="AA9" t="str">
            <v>(輛)</v>
          </cell>
          <cell r="AB9" t="str">
            <v>比例</v>
          </cell>
          <cell r="AD9" t="str">
            <v>PHF</v>
          </cell>
        </row>
        <row r="10">
          <cell r="A10" t="str">
            <v>A</v>
          </cell>
          <cell r="B10" t="str">
            <v>07:00-08:00</v>
          </cell>
          <cell r="D10">
            <v>0</v>
          </cell>
          <cell r="E10">
            <v>8</v>
          </cell>
          <cell r="F10">
            <v>1</v>
          </cell>
          <cell r="G10">
            <v>13</v>
          </cell>
          <cell r="H10">
            <v>7.131102578167855E-3</v>
          </cell>
          <cell r="I10">
            <v>1</v>
          </cell>
          <cell r="K10">
            <v>25</v>
          </cell>
          <cell r="L10">
            <v>983</v>
          </cell>
          <cell r="M10">
            <v>863</v>
          </cell>
          <cell r="N10">
            <v>1279</v>
          </cell>
          <cell r="O10">
            <v>0.70159078442128364</v>
          </cell>
          <cell r="Q10">
            <v>1</v>
          </cell>
          <cell r="R10">
            <v>357</v>
          </cell>
          <cell r="S10">
            <v>161</v>
          </cell>
          <cell r="T10">
            <v>531</v>
          </cell>
          <cell r="U10">
            <v>0.29127811300054857</v>
          </cell>
          <cell r="W10">
            <v>26</v>
          </cell>
          <cell r="X10">
            <v>1.0837849103793247E-2</v>
          </cell>
          <cell r="Y10">
            <v>1348</v>
          </cell>
          <cell r="Z10">
            <v>0.56190079199666532</v>
          </cell>
          <cell r="AA10">
            <v>1025</v>
          </cell>
          <cell r="AB10">
            <v>0.42726135889954148</v>
          </cell>
          <cell r="AC10">
            <v>1823</v>
          </cell>
        </row>
        <row r="11">
          <cell r="B11" t="str">
            <v>08:00-09:00</v>
          </cell>
          <cell r="D11">
            <v>0</v>
          </cell>
          <cell r="E11">
            <v>21</v>
          </cell>
          <cell r="F11">
            <v>4</v>
          </cell>
          <cell r="G11">
            <v>34</v>
          </cell>
          <cell r="H11">
            <v>2.5129342202512936E-2</v>
          </cell>
          <cell r="I11">
            <v>3</v>
          </cell>
          <cell r="K11">
            <v>23</v>
          </cell>
          <cell r="L11">
            <v>805</v>
          </cell>
          <cell r="M11">
            <v>469</v>
          </cell>
          <cell r="N11">
            <v>980</v>
          </cell>
          <cell r="O11">
            <v>0.72431633407243168</v>
          </cell>
          <cell r="Q11">
            <v>3</v>
          </cell>
          <cell r="R11">
            <v>219</v>
          </cell>
          <cell r="S11">
            <v>120</v>
          </cell>
          <cell r="T11">
            <v>339</v>
          </cell>
          <cell r="U11">
            <v>0.25055432372505543</v>
          </cell>
          <cell r="W11">
            <v>26</v>
          </cell>
          <cell r="X11">
            <v>1.5625E-2</v>
          </cell>
          <cell r="Y11">
            <v>1045</v>
          </cell>
          <cell r="Z11">
            <v>0.62800480769230771</v>
          </cell>
          <cell r="AA11">
            <v>593</v>
          </cell>
          <cell r="AB11">
            <v>0.35637019230769229</v>
          </cell>
          <cell r="AC11">
            <v>1353</v>
          </cell>
        </row>
        <row r="12">
          <cell r="B12" t="str">
            <v>17:00-18:00</v>
          </cell>
          <cell r="D12">
            <v>0</v>
          </cell>
          <cell r="E12">
            <v>46</v>
          </cell>
          <cell r="F12">
            <v>4</v>
          </cell>
          <cell r="G12">
            <v>71</v>
          </cell>
          <cell r="H12">
            <v>5.436447166921899E-2</v>
          </cell>
          <cell r="I12">
            <v>19</v>
          </cell>
          <cell r="K12">
            <v>36</v>
          </cell>
          <cell r="L12">
            <v>750</v>
          </cell>
          <cell r="M12">
            <v>553</v>
          </cell>
          <cell r="N12">
            <v>970</v>
          </cell>
          <cell r="O12">
            <v>0.74272588055130173</v>
          </cell>
          <cell r="Q12">
            <v>0</v>
          </cell>
          <cell r="R12">
            <v>170</v>
          </cell>
          <cell r="S12">
            <v>110</v>
          </cell>
          <cell r="T12">
            <v>265</v>
          </cell>
          <cell r="U12">
            <v>0.20290964777947931</v>
          </cell>
          <cell r="W12">
            <v>36</v>
          </cell>
          <cell r="X12">
            <v>2.1569802276812461E-2</v>
          </cell>
          <cell r="Y12">
            <v>966</v>
          </cell>
          <cell r="Z12">
            <v>0.57878969442780104</v>
          </cell>
          <cell r="AA12">
            <v>667</v>
          </cell>
          <cell r="AB12">
            <v>0.39964050329538647</v>
          </cell>
          <cell r="AC12">
            <v>1306</v>
          </cell>
        </row>
        <row r="13">
          <cell r="B13" t="str">
            <v>18:00-19:00</v>
          </cell>
          <cell r="D13">
            <v>1</v>
          </cell>
          <cell r="E13">
            <v>38</v>
          </cell>
          <cell r="F13">
            <v>6</v>
          </cell>
          <cell r="G13">
            <v>62</v>
          </cell>
          <cell r="H13">
            <v>4.7655649500384319E-2</v>
          </cell>
          <cell r="I13">
            <v>17</v>
          </cell>
          <cell r="K13">
            <v>13</v>
          </cell>
          <cell r="L13">
            <v>764</v>
          </cell>
          <cell r="M13">
            <v>547</v>
          </cell>
          <cell r="N13">
            <v>948</v>
          </cell>
          <cell r="O13">
            <v>0.72867025365103766</v>
          </cell>
          <cell r="Q13">
            <v>0</v>
          </cell>
          <cell r="R13">
            <v>179</v>
          </cell>
          <cell r="S13">
            <v>146</v>
          </cell>
          <cell r="T13">
            <v>291</v>
          </cell>
          <cell r="U13">
            <v>0.22367409684857803</v>
          </cell>
          <cell r="W13">
            <v>14</v>
          </cell>
          <cell r="X13">
            <v>8.2644628099173556E-3</v>
          </cell>
          <cell r="Y13">
            <v>981</v>
          </cell>
          <cell r="Z13">
            <v>0.57910271546635184</v>
          </cell>
          <cell r="AA13">
            <v>699</v>
          </cell>
          <cell r="AB13">
            <v>0.41263282172373084</v>
          </cell>
          <cell r="AC13">
            <v>1301</v>
          </cell>
        </row>
        <row r="15">
          <cell r="A15" t="str">
            <v>B</v>
          </cell>
          <cell r="B15" t="str">
            <v>07:00-08:00</v>
          </cell>
          <cell r="D15">
            <v>2</v>
          </cell>
          <cell r="E15">
            <v>60</v>
          </cell>
          <cell r="F15">
            <v>12</v>
          </cell>
          <cell r="G15">
            <v>101</v>
          </cell>
          <cell r="H15">
            <v>0.13911845730027547</v>
          </cell>
          <cell r="I15">
            <v>4</v>
          </cell>
          <cell r="K15">
            <v>11</v>
          </cell>
          <cell r="L15">
            <v>358</v>
          </cell>
          <cell r="M15">
            <v>801</v>
          </cell>
          <cell r="N15">
            <v>615</v>
          </cell>
          <cell r="O15">
            <v>0.84710743801652888</v>
          </cell>
          <cell r="Q15">
            <v>0</v>
          </cell>
          <cell r="R15">
            <v>6</v>
          </cell>
          <cell r="S15">
            <v>6</v>
          </cell>
          <cell r="T15">
            <v>10</v>
          </cell>
          <cell r="U15">
            <v>1.3774104683195593E-2</v>
          </cell>
          <cell r="W15">
            <v>13</v>
          </cell>
          <cell r="X15">
            <v>1.0350318471337579E-2</v>
          </cell>
          <cell r="Y15">
            <v>424</v>
          </cell>
          <cell r="Z15">
            <v>0.33757961783439489</v>
          </cell>
          <cell r="AA15">
            <v>819</v>
          </cell>
          <cell r="AB15">
            <v>0.65207006369426757</v>
          </cell>
          <cell r="AC15">
            <v>726</v>
          </cell>
        </row>
        <row r="16">
          <cell r="B16" t="str">
            <v>08:00-09:00</v>
          </cell>
          <cell r="D16">
            <v>2</v>
          </cell>
          <cell r="E16">
            <v>87</v>
          </cell>
          <cell r="F16">
            <v>16</v>
          </cell>
          <cell r="G16">
            <v>143</v>
          </cell>
          <cell r="H16">
            <v>0.21832061068702291</v>
          </cell>
          <cell r="I16">
            <v>0</v>
          </cell>
          <cell r="K16">
            <v>10</v>
          </cell>
          <cell r="L16">
            <v>327</v>
          </cell>
          <cell r="M16">
            <v>533</v>
          </cell>
          <cell r="N16">
            <v>502</v>
          </cell>
          <cell r="O16">
            <v>0.76641221374045798</v>
          </cell>
          <cell r="Q16">
            <v>1</v>
          </cell>
          <cell r="R16">
            <v>4</v>
          </cell>
          <cell r="S16">
            <v>8</v>
          </cell>
          <cell r="T16">
            <v>10</v>
          </cell>
          <cell r="U16">
            <v>1.5267175572519083E-2</v>
          </cell>
          <cell r="W16">
            <v>13</v>
          </cell>
          <cell r="X16">
            <v>1.3157894736842105E-2</v>
          </cell>
          <cell r="Y16">
            <v>418</v>
          </cell>
          <cell r="Z16">
            <v>0.42307692307692307</v>
          </cell>
          <cell r="AA16">
            <v>557</v>
          </cell>
          <cell r="AB16">
            <v>0.56376518218623484</v>
          </cell>
          <cell r="AC16">
            <v>655</v>
          </cell>
        </row>
        <row r="17">
          <cell r="B17" t="str">
            <v>17:00-18:00</v>
          </cell>
          <cell r="D17">
            <v>0</v>
          </cell>
          <cell r="E17">
            <v>87</v>
          </cell>
          <cell r="F17">
            <v>22</v>
          </cell>
          <cell r="G17">
            <v>142</v>
          </cell>
          <cell r="H17">
            <v>0.24482758620689654</v>
          </cell>
          <cell r="I17">
            <v>3</v>
          </cell>
          <cell r="K17">
            <v>9</v>
          </cell>
          <cell r="L17">
            <v>225</v>
          </cell>
          <cell r="M17">
            <v>504</v>
          </cell>
          <cell r="N17">
            <v>390</v>
          </cell>
          <cell r="O17">
            <v>0.67241379310344829</v>
          </cell>
          <cell r="Q17">
            <v>0</v>
          </cell>
          <cell r="R17">
            <v>34</v>
          </cell>
          <cell r="S17">
            <v>9</v>
          </cell>
          <cell r="T17">
            <v>48</v>
          </cell>
          <cell r="U17">
            <v>8.2758620689655171E-2</v>
          </cell>
          <cell r="W17">
            <v>9</v>
          </cell>
          <cell r="X17">
            <v>1.0112359550561797E-2</v>
          </cell>
          <cell r="Y17">
            <v>346</v>
          </cell>
          <cell r="Z17">
            <v>0.38876404494382022</v>
          </cell>
          <cell r="AA17">
            <v>535</v>
          </cell>
          <cell r="AB17">
            <v>0.601123595505618</v>
          </cell>
          <cell r="AC17">
            <v>580</v>
          </cell>
        </row>
        <row r="18">
          <cell r="B18" t="str">
            <v>18:00-19:00</v>
          </cell>
          <cell r="D18">
            <v>2</v>
          </cell>
          <cell r="E18">
            <v>82</v>
          </cell>
          <cell r="F18">
            <v>22</v>
          </cell>
          <cell r="G18">
            <v>139</v>
          </cell>
          <cell r="H18">
            <v>0.19971264367816091</v>
          </cell>
          <cell r="I18">
            <v>2</v>
          </cell>
          <cell r="K18">
            <v>6</v>
          </cell>
          <cell r="L18">
            <v>255</v>
          </cell>
          <cell r="M18">
            <v>773</v>
          </cell>
          <cell r="N18">
            <v>496</v>
          </cell>
          <cell r="O18">
            <v>0.71264367816091956</v>
          </cell>
          <cell r="Q18">
            <v>0</v>
          </cell>
          <cell r="R18">
            <v>42</v>
          </cell>
          <cell r="S18">
            <v>17</v>
          </cell>
          <cell r="T18">
            <v>61</v>
          </cell>
          <cell r="U18">
            <v>8.7643678160919544E-2</v>
          </cell>
          <cell r="W18">
            <v>8</v>
          </cell>
          <cell r="X18">
            <v>6.672226855713094E-3</v>
          </cell>
          <cell r="Y18">
            <v>379</v>
          </cell>
          <cell r="Z18">
            <v>0.31609674728940784</v>
          </cell>
          <cell r="AA18">
            <v>812</v>
          </cell>
          <cell r="AB18">
            <v>0.67723102585487904</v>
          </cell>
          <cell r="AC18">
            <v>696</v>
          </cell>
        </row>
        <row r="20">
          <cell r="A20" t="str">
            <v>C</v>
          </cell>
          <cell r="B20" t="str">
            <v>07:00-08:00</v>
          </cell>
          <cell r="D20">
            <v>13</v>
          </cell>
          <cell r="E20">
            <v>469</v>
          </cell>
          <cell r="F20">
            <v>252</v>
          </cell>
          <cell r="G20">
            <v>859</v>
          </cell>
          <cell r="H20">
            <v>0.38314005352363961</v>
          </cell>
          <cell r="I20">
            <v>570</v>
          </cell>
          <cell r="K20">
            <v>29</v>
          </cell>
          <cell r="L20">
            <v>861</v>
          </cell>
          <cell r="M20">
            <v>1353</v>
          </cell>
          <cell r="N20">
            <v>1310</v>
          </cell>
          <cell r="O20">
            <v>0.584299732381802</v>
          </cell>
          <cell r="Q20">
            <v>0</v>
          </cell>
          <cell r="R20">
            <v>47</v>
          </cell>
          <cell r="S20">
            <v>30</v>
          </cell>
          <cell r="T20">
            <v>73</v>
          </cell>
          <cell r="U20">
            <v>3.2560214094558428E-2</v>
          </cell>
          <cell r="W20">
            <v>42</v>
          </cell>
          <cell r="X20">
            <v>1.37524557956778E-2</v>
          </cell>
          <cell r="Y20">
            <v>1377</v>
          </cell>
          <cell r="Z20">
            <v>0.45088408644400785</v>
          </cell>
          <cell r="AA20">
            <v>1635</v>
          </cell>
          <cell r="AB20">
            <v>0.53536345776031435</v>
          </cell>
          <cell r="AC20">
            <v>2242</v>
          </cell>
        </row>
        <row r="21">
          <cell r="B21" t="str">
            <v>08:00-09:00</v>
          </cell>
          <cell r="D21">
            <v>10</v>
          </cell>
          <cell r="E21">
            <v>498</v>
          </cell>
          <cell r="F21">
            <v>117</v>
          </cell>
          <cell r="G21">
            <v>829</v>
          </cell>
          <cell r="H21">
            <v>0.4172118772018118</v>
          </cell>
          <cell r="I21">
            <v>184</v>
          </cell>
          <cell r="K21">
            <v>29</v>
          </cell>
          <cell r="L21">
            <v>773</v>
          </cell>
          <cell r="M21">
            <v>888</v>
          </cell>
          <cell r="N21">
            <v>1083</v>
          </cell>
          <cell r="O21">
            <v>0.54504277805737289</v>
          </cell>
          <cell r="Q21">
            <v>1</v>
          </cell>
          <cell r="R21">
            <v>49</v>
          </cell>
          <cell r="S21">
            <v>23</v>
          </cell>
          <cell r="T21">
            <v>75</v>
          </cell>
          <cell r="U21">
            <v>3.7745344740815298E-2</v>
          </cell>
          <cell r="W21">
            <v>40</v>
          </cell>
          <cell r="X21">
            <v>1.675041876046901E-2</v>
          </cell>
          <cell r="Y21">
            <v>1320</v>
          </cell>
          <cell r="Z21">
            <v>0.55276381909547734</v>
          </cell>
          <cell r="AA21">
            <v>1028</v>
          </cell>
          <cell r="AB21">
            <v>0.4304857621440536</v>
          </cell>
          <cell r="AC21">
            <v>1987</v>
          </cell>
        </row>
        <row r="22">
          <cell r="B22" t="str">
            <v>17:00-18:00</v>
          </cell>
          <cell r="D22">
            <v>8</v>
          </cell>
          <cell r="E22">
            <v>286</v>
          </cell>
          <cell r="F22">
            <v>40</v>
          </cell>
          <cell r="G22">
            <v>467</v>
          </cell>
          <cell r="H22">
            <v>0.23538306451612903</v>
          </cell>
          <cell r="I22">
            <v>175</v>
          </cell>
          <cell r="K22">
            <v>29</v>
          </cell>
          <cell r="L22">
            <v>975</v>
          </cell>
          <cell r="M22">
            <v>1097</v>
          </cell>
          <cell r="N22">
            <v>1348</v>
          </cell>
          <cell r="O22">
            <v>0.67943548387096775</v>
          </cell>
          <cell r="Q22">
            <v>1</v>
          </cell>
          <cell r="R22">
            <v>112</v>
          </cell>
          <cell r="S22">
            <v>53</v>
          </cell>
          <cell r="T22">
            <v>169</v>
          </cell>
          <cell r="U22">
            <v>8.518145161290322E-2</v>
          </cell>
          <cell r="W22">
            <v>38</v>
          </cell>
          <cell r="X22">
            <v>1.4609765474817378E-2</v>
          </cell>
          <cell r="Y22">
            <v>1373</v>
          </cell>
          <cell r="Z22">
            <v>0.52787389465590162</v>
          </cell>
          <cell r="AA22">
            <v>1190</v>
          </cell>
          <cell r="AB22">
            <v>0.45751633986928103</v>
          </cell>
          <cell r="AC22">
            <v>1984</v>
          </cell>
        </row>
        <row r="23">
          <cell r="B23" t="str">
            <v>18:00-19:00</v>
          </cell>
          <cell r="D23">
            <v>15</v>
          </cell>
          <cell r="E23">
            <v>268</v>
          </cell>
          <cell r="F23">
            <v>50</v>
          </cell>
          <cell r="G23">
            <v>462</v>
          </cell>
          <cell r="H23">
            <v>0.20886075949367089</v>
          </cell>
          <cell r="I23">
            <v>226</v>
          </cell>
          <cell r="K23">
            <v>14</v>
          </cell>
          <cell r="L23">
            <v>1191</v>
          </cell>
          <cell r="M23">
            <v>1105</v>
          </cell>
          <cell r="N23">
            <v>1544</v>
          </cell>
          <cell r="O23">
            <v>0.69801084990958406</v>
          </cell>
          <cell r="Q23">
            <v>2</v>
          </cell>
          <cell r="R23">
            <v>144</v>
          </cell>
          <cell r="S23">
            <v>38</v>
          </cell>
          <cell r="T23">
            <v>206</v>
          </cell>
          <cell r="U23">
            <v>9.3128390596745034E-2</v>
          </cell>
          <cell r="W23">
            <v>31</v>
          </cell>
          <cell r="X23">
            <v>1.0965688008489564E-2</v>
          </cell>
          <cell r="Y23">
            <v>1603</v>
          </cell>
          <cell r="Z23">
            <v>0.56703218960028301</v>
          </cell>
          <cell r="AA23">
            <v>1193</v>
          </cell>
          <cell r="AB23">
            <v>0.42200212239122747</v>
          </cell>
          <cell r="AC23">
            <v>2212</v>
          </cell>
        </row>
        <row r="25">
          <cell r="A25" t="str">
            <v>D</v>
          </cell>
          <cell r="B25" t="str">
            <v>07:00-08:00</v>
          </cell>
          <cell r="D25">
            <v>1</v>
          </cell>
          <cell r="E25">
            <v>72</v>
          </cell>
          <cell r="F25">
            <v>29</v>
          </cell>
          <cell r="G25">
            <v>125</v>
          </cell>
          <cell r="H25">
            <v>0.10032102728731943</v>
          </cell>
          <cell r="I25">
            <v>7</v>
          </cell>
          <cell r="K25">
            <v>9</v>
          </cell>
          <cell r="L25">
            <v>238</v>
          </cell>
          <cell r="M25">
            <v>359</v>
          </cell>
          <cell r="N25">
            <v>359</v>
          </cell>
          <cell r="O25">
            <v>0.2881219903691814</v>
          </cell>
          <cell r="Q25">
            <v>13</v>
          </cell>
          <cell r="R25">
            <v>448</v>
          </cell>
          <cell r="S25">
            <v>383</v>
          </cell>
          <cell r="T25">
            <v>762</v>
          </cell>
          <cell r="U25">
            <v>0.6115569823434992</v>
          </cell>
          <cell r="W25">
            <v>23</v>
          </cell>
          <cell r="X25">
            <v>1.4819587628865979E-2</v>
          </cell>
          <cell r="Y25">
            <v>758</v>
          </cell>
          <cell r="Z25">
            <v>0.48840206185567009</v>
          </cell>
          <cell r="AA25">
            <v>771</v>
          </cell>
          <cell r="AB25">
            <v>0.49677835051546393</v>
          </cell>
          <cell r="AC25">
            <v>1246</v>
          </cell>
        </row>
        <row r="26">
          <cell r="B26" t="str">
            <v>08:00-09:00</v>
          </cell>
          <cell r="D26">
            <v>0</v>
          </cell>
          <cell r="E26">
            <v>146</v>
          </cell>
          <cell r="F26">
            <v>34</v>
          </cell>
          <cell r="G26">
            <v>236</v>
          </cell>
          <cell r="H26">
            <v>0.16821097647897362</v>
          </cell>
          <cell r="I26">
            <v>9</v>
          </cell>
          <cell r="K26">
            <v>7</v>
          </cell>
          <cell r="L26">
            <v>245</v>
          </cell>
          <cell r="M26">
            <v>426</v>
          </cell>
          <cell r="N26">
            <v>383</v>
          </cell>
          <cell r="O26">
            <v>0.2729864575908767</v>
          </cell>
          <cell r="Q26">
            <v>5</v>
          </cell>
          <cell r="R26">
            <v>497</v>
          </cell>
          <cell r="S26">
            <v>320</v>
          </cell>
          <cell r="T26">
            <v>784</v>
          </cell>
          <cell r="U26">
            <v>0.55880256593014965</v>
          </cell>
          <cell r="W26">
            <v>12</v>
          </cell>
          <cell r="X26">
            <v>7.1428571428571426E-3</v>
          </cell>
          <cell r="Y26">
            <v>888</v>
          </cell>
          <cell r="Z26">
            <v>0.52857142857142858</v>
          </cell>
          <cell r="AA26">
            <v>780</v>
          </cell>
          <cell r="AB26">
            <v>0.4642857142857143</v>
          </cell>
          <cell r="AC26">
            <v>1403</v>
          </cell>
        </row>
        <row r="27">
          <cell r="B27" t="str">
            <v>17:00-18:00</v>
          </cell>
          <cell r="D27">
            <v>0</v>
          </cell>
          <cell r="E27">
            <v>199</v>
          </cell>
          <cell r="F27">
            <v>84</v>
          </cell>
          <cell r="G27">
            <v>341</v>
          </cell>
          <cell r="H27">
            <v>0.17380224260958205</v>
          </cell>
          <cell r="I27">
            <v>14</v>
          </cell>
          <cell r="K27">
            <v>10</v>
          </cell>
          <cell r="L27">
            <v>364</v>
          </cell>
          <cell r="M27">
            <v>691</v>
          </cell>
          <cell r="N27">
            <v>586</v>
          </cell>
          <cell r="O27">
            <v>0.29867482161060144</v>
          </cell>
          <cell r="Q27">
            <v>24</v>
          </cell>
          <cell r="R27">
            <v>605</v>
          </cell>
          <cell r="S27">
            <v>500</v>
          </cell>
          <cell r="T27">
            <v>1035</v>
          </cell>
          <cell r="U27">
            <v>0.52752293577981646</v>
          </cell>
          <cell r="W27">
            <v>34</v>
          </cell>
          <cell r="X27">
            <v>1.3726281792490917E-2</v>
          </cell>
          <cell r="Y27">
            <v>1168</v>
          </cell>
          <cell r="Z27">
            <v>0.47153815098909974</v>
          </cell>
          <cell r="AA27">
            <v>1275</v>
          </cell>
          <cell r="AB27">
            <v>0.51473556721840941</v>
          </cell>
          <cell r="AC27">
            <v>1962</v>
          </cell>
        </row>
        <row r="28">
          <cell r="B28" t="str">
            <v>18:00-19:00</v>
          </cell>
          <cell r="D28">
            <v>0</v>
          </cell>
          <cell r="E28">
            <v>188</v>
          </cell>
          <cell r="F28">
            <v>73</v>
          </cell>
          <cell r="G28">
            <v>319</v>
          </cell>
          <cell r="H28">
            <v>0.16258919469928645</v>
          </cell>
          <cell r="I28">
            <v>10</v>
          </cell>
          <cell r="K28">
            <v>12</v>
          </cell>
          <cell r="L28">
            <v>403</v>
          </cell>
          <cell r="M28">
            <v>670</v>
          </cell>
          <cell r="N28">
            <v>622</v>
          </cell>
          <cell r="O28">
            <v>0.31702344546381245</v>
          </cell>
          <cell r="Q28">
            <v>8</v>
          </cell>
          <cell r="R28">
            <v>679</v>
          </cell>
          <cell r="S28">
            <v>306</v>
          </cell>
          <cell r="T28">
            <v>1021</v>
          </cell>
          <cell r="U28">
            <v>0.5203873598369011</v>
          </cell>
          <cell r="W28">
            <v>20</v>
          </cell>
          <cell r="X28">
            <v>8.5506626763574185E-3</v>
          </cell>
          <cell r="Y28">
            <v>1270</v>
          </cell>
          <cell r="Z28">
            <v>0.54296707994869597</v>
          </cell>
          <cell r="AA28">
            <v>1049</v>
          </cell>
          <cell r="AB28">
            <v>0.44848225737494657</v>
          </cell>
          <cell r="AC28">
            <v>1962</v>
          </cell>
        </row>
        <row r="30">
          <cell r="A30" t="str">
            <v>合計</v>
          </cell>
          <cell r="B30" t="str">
            <v>07:00-08:00</v>
          </cell>
          <cell r="D30">
            <v>16</v>
          </cell>
          <cell r="E30">
            <v>609</v>
          </cell>
          <cell r="F30">
            <v>294</v>
          </cell>
          <cell r="G30">
            <v>1098</v>
          </cell>
          <cell r="H30">
            <v>0.18187841643200264</v>
          </cell>
          <cell r="I30">
            <v>582</v>
          </cell>
          <cell r="K30">
            <v>74</v>
          </cell>
          <cell r="L30">
            <v>2440</v>
          </cell>
          <cell r="M30">
            <v>3376</v>
          </cell>
          <cell r="N30">
            <v>3563</v>
          </cell>
          <cell r="O30">
            <v>0.59019380486996853</v>
          </cell>
          <cell r="Q30">
            <v>14</v>
          </cell>
          <cell r="R30">
            <v>858</v>
          </cell>
          <cell r="S30">
            <v>580</v>
          </cell>
          <cell r="T30">
            <v>1376</v>
          </cell>
          <cell r="U30">
            <v>0.22792777869802883</v>
          </cell>
          <cell r="W30">
            <v>104</v>
          </cell>
          <cell r="X30">
            <v>1.2589274906185692E-2</v>
          </cell>
          <cell r="Y30">
            <v>3907</v>
          </cell>
          <cell r="Z30">
            <v>0.47294516402372594</v>
          </cell>
          <cell r="AA30">
            <v>4250</v>
          </cell>
          <cell r="AB30">
            <v>0.51446556107008834</v>
          </cell>
          <cell r="AC30">
            <v>6037</v>
          </cell>
        </row>
        <row r="31">
          <cell r="B31" t="str">
            <v>08:00-09:00</v>
          </cell>
          <cell r="D31">
            <v>12</v>
          </cell>
          <cell r="E31">
            <v>752</v>
          </cell>
          <cell r="F31">
            <v>171</v>
          </cell>
          <cell r="G31">
            <v>1242</v>
          </cell>
          <cell r="H31">
            <v>0.23008521674694332</v>
          </cell>
          <cell r="I31">
            <v>196</v>
          </cell>
          <cell r="K31">
            <v>69</v>
          </cell>
          <cell r="L31">
            <v>2150</v>
          </cell>
          <cell r="M31">
            <v>2316</v>
          </cell>
          <cell r="N31">
            <v>2948</v>
          </cell>
          <cell r="O31">
            <v>0.5461281956280104</v>
          </cell>
          <cell r="Q31">
            <v>10</v>
          </cell>
          <cell r="R31">
            <v>769</v>
          </cell>
          <cell r="S31">
            <v>471</v>
          </cell>
          <cell r="T31">
            <v>1208</v>
          </cell>
          <cell r="U31">
            <v>0.2237865876250463</v>
          </cell>
          <cell r="W31">
            <v>91</v>
          </cell>
          <cell r="X31">
            <v>1.3541666666666667E-2</v>
          </cell>
          <cell r="Y31">
            <v>3671</v>
          </cell>
          <cell r="Z31">
            <v>0.54627976190476191</v>
          </cell>
          <cell r="AA31">
            <v>2958</v>
          </cell>
          <cell r="AB31">
            <v>0.44017857142857142</v>
          </cell>
          <cell r="AC31">
            <v>5398</v>
          </cell>
        </row>
        <row r="32">
          <cell r="B32" t="str">
            <v>17:00-18:00</v>
          </cell>
          <cell r="D32">
            <v>8</v>
          </cell>
          <cell r="E32">
            <v>618</v>
          </cell>
          <cell r="F32">
            <v>150</v>
          </cell>
          <cell r="G32">
            <v>1021</v>
          </cell>
          <cell r="H32">
            <v>0.17506858710562415</v>
          </cell>
          <cell r="I32">
            <v>211</v>
          </cell>
          <cell r="K32">
            <v>84</v>
          </cell>
          <cell r="L32">
            <v>2314</v>
          </cell>
          <cell r="M32">
            <v>2845</v>
          </cell>
          <cell r="N32">
            <v>3294</v>
          </cell>
          <cell r="O32">
            <v>0.56481481481481477</v>
          </cell>
          <cell r="Q32">
            <v>25</v>
          </cell>
          <cell r="R32">
            <v>921</v>
          </cell>
          <cell r="S32">
            <v>672</v>
          </cell>
          <cell r="T32">
            <v>1517</v>
          </cell>
          <cell r="U32">
            <v>0.26011659807956106</v>
          </cell>
          <cell r="W32">
            <v>117</v>
          </cell>
          <cell r="X32">
            <v>1.532015189210423E-2</v>
          </cell>
          <cell r="Y32">
            <v>3853</v>
          </cell>
          <cell r="Z32">
            <v>0.50451748068613333</v>
          </cell>
          <cell r="AA32">
            <v>3667</v>
          </cell>
          <cell r="AB32">
            <v>0.48016236742176249</v>
          </cell>
          <cell r="AC32">
            <v>5832</v>
          </cell>
        </row>
        <row r="33">
          <cell r="B33" t="str">
            <v>18:00-19:00</v>
          </cell>
          <cell r="D33">
            <v>18</v>
          </cell>
          <cell r="E33">
            <v>576</v>
          </cell>
          <cell r="F33">
            <v>151</v>
          </cell>
          <cell r="G33">
            <v>982</v>
          </cell>
          <cell r="H33">
            <v>0.15913142116350673</v>
          </cell>
          <cell r="I33">
            <v>255</v>
          </cell>
          <cell r="K33">
            <v>45</v>
          </cell>
          <cell r="L33">
            <v>2613</v>
          </cell>
          <cell r="M33">
            <v>3095</v>
          </cell>
          <cell r="N33">
            <v>3610</v>
          </cell>
          <cell r="O33">
            <v>0.58499432830983633</v>
          </cell>
          <cell r="Q33">
            <v>10</v>
          </cell>
          <cell r="R33">
            <v>1044</v>
          </cell>
          <cell r="S33">
            <v>507</v>
          </cell>
          <cell r="T33">
            <v>1579</v>
          </cell>
          <cell r="U33">
            <v>0.25587425052665697</v>
          </cell>
          <cell r="W33">
            <v>73</v>
          </cell>
          <cell r="X33">
            <v>9.0581958059312573E-3</v>
          </cell>
          <cell r="Y33">
            <v>4233</v>
          </cell>
          <cell r="Z33">
            <v>0.52525127186995901</v>
          </cell>
          <cell r="AA33">
            <v>3753</v>
          </cell>
          <cell r="AB33">
            <v>0.46569053232410967</v>
          </cell>
          <cell r="AC33">
            <v>6171</v>
          </cell>
        </row>
        <row r="35">
          <cell r="A35" t="str">
            <v>A</v>
          </cell>
          <cell r="B35" t="str">
            <v>07:00-08:00</v>
          </cell>
          <cell r="D35">
            <v>0</v>
          </cell>
          <cell r="E35">
            <v>8</v>
          </cell>
          <cell r="F35">
            <v>1</v>
          </cell>
          <cell r="G35">
            <v>13</v>
          </cell>
          <cell r="H35">
            <v>7.131102578167855E-3</v>
          </cell>
          <cell r="I35">
            <v>1</v>
          </cell>
          <cell r="K35">
            <v>25</v>
          </cell>
          <cell r="L35">
            <v>983</v>
          </cell>
          <cell r="M35">
            <v>863</v>
          </cell>
          <cell r="N35">
            <v>1279</v>
          </cell>
          <cell r="O35">
            <v>0.70159078442128364</v>
          </cell>
          <cell r="Q35">
            <v>1</v>
          </cell>
          <cell r="R35">
            <v>357</v>
          </cell>
          <cell r="S35">
            <v>161</v>
          </cell>
          <cell r="T35">
            <v>531</v>
          </cell>
          <cell r="U35">
            <v>0.29127811300054857</v>
          </cell>
          <cell r="W35">
            <v>26</v>
          </cell>
          <cell r="X35">
            <v>1.0837849103793247E-2</v>
          </cell>
          <cell r="Y35">
            <v>1348</v>
          </cell>
          <cell r="Z35">
            <v>0.56190079199666532</v>
          </cell>
          <cell r="AA35">
            <v>1025</v>
          </cell>
          <cell r="AB35">
            <v>0.42726135889954148</v>
          </cell>
          <cell r="AC35">
            <v>1823</v>
          </cell>
          <cell r="AD35">
            <v>0.94620976116303224</v>
          </cell>
        </row>
        <row r="36">
          <cell r="A36" t="str">
            <v>B</v>
          </cell>
          <cell r="D36">
            <v>2</v>
          </cell>
          <cell r="E36">
            <v>60</v>
          </cell>
          <cell r="F36">
            <v>12</v>
          </cell>
          <cell r="G36">
            <v>101</v>
          </cell>
          <cell r="H36">
            <v>0.13911845730027547</v>
          </cell>
          <cell r="I36">
            <v>4</v>
          </cell>
          <cell r="K36">
            <v>11</v>
          </cell>
          <cell r="L36">
            <v>358</v>
          </cell>
          <cell r="M36">
            <v>801</v>
          </cell>
          <cell r="N36">
            <v>615</v>
          </cell>
          <cell r="O36">
            <v>0.84710743801652888</v>
          </cell>
          <cell r="Q36">
            <v>0</v>
          </cell>
          <cell r="R36">
            <v>6</v>
          </cell>
          <cell r="S36">
            <v>6</v>
          </cell>
          <cell r="T36">
            <v>10</v>
          </cell>
          <cell r="U36">
            <v>1.3774104683195593E-2</v>
          </cell>
          <cell r="W36">
            <v>13</v>
          </cell>
          <cell r="X36">
            <v>1.0350318471337579E-2</v>
          </cell>
          <cell r="Y36">
            <v>424</v>
          </cell>
          <cell r="Z36">
            <v>0.33757961783439489</v>
          </cell>
          <cell r="AA36">
            <v>819</v>
          </cell>
          <cell r="AB36">
            <v>0.65207006369426757</v>
          </cell>
          <cell r="AC36">
            <v>726</v>
          </cell>
          <cell r="AD36">
            <v>0.84215413184772525</v>
          </cell>
        </row>
        <row r="37">
          <cell r="A37" t="str">
            <v>C</v>
          </cell>
          <cell r="D37">
            <v>13</v>
          </cell>
          <cell r="E37">
            <v>469</v>
          </cell>
          <cell r="F37">
            <v>252</v>
          </cell>
          <cell r="G37">
            <v>859</v>
          </cell>
          <cell r="H37">
            <v>0.38314005352363961</v>
          </cell>
          <cell r="I37">
            <v>570</v>
          </cell>
          <cell r="K37">
            <v>29</v>
          </cell>
          <cell r="L37">
            <v>861</v>
          </cell>
          <cell r="M37">
            <v>1353</v>
          </cell>
          <cell r="N37">
            <v>1310</v>
          </cell>
          <cell r="O37">
            <v>0.584299732381802</v>
          </cell>
          <cell r="Q37">
            <v>0</v>
          </cell>
          <cell r="R37">
            <v>47</v>
          </cell>
          <cell r="S37">
            <v>30</v>
          </cell>
          <cell r="T37">
            <v>73</v>
          </cell>
          <cell r="U37">
            <v>3.2560214094558428E-2</v>
          </cell>
          <cell r="W37">
            <v>42</v>
          </cell>
          <cell r="X37">
            <v>1.37524557956778E-2</v>
          </cell>
          <cell r="Y37">
            <v>1377</v>
          </cell>
          <cell r="Z37">
            <v>0.45088408644400785</v>
          </cell>
          <cell r="AA37">
            <v>1635</v>
          </cell>
          <cell r="AB37">
            <v>0.53536345776031435</v>
          </cell>
          <cell r="AC37">
            <v>2242</v>
          </cell>
          <cell r="AD37">
            <v>0.83790346682606087</v>
          </cell>
        </row>
        <row r="38">
          <cell r="A38" t="str">
            <v>D</v>
          </cell>
          <cell r="D38">
            <v>1</v>
          </cell>
          <cell r="E38">
            <v>72</v>
          </cell>
          <cell r="F38">
            <v>29</v>
          </cell>
          <cell r="G38">
            <v>125</v>
          </cell>
          <cell r="H38">
            <v>0.10032102728731943</v>
          </cell>
          <cell r="I38">
            <v>7</v>
          </cell>
          <cell r="K38">
            <v>9</v>
          </cell>
          <cell r="L38">
            <v>238</v>
          </cell>
          <cell r="M38">
            <v>359</v>
          </cell>
          <cell r="N38">
            <v>359</v>
          </cell>
          <cell r="O38">
            <v>0.2881219903691814</v>
          </cell>
          <cell r="Q38">
            <v>13</v>
          </cell>
          <cell r="R38">
            <v>448</v>
          </cell>
          <cell r="S38">
            <v>383</v>
          </cell>
          <cell r="T38">
            <v>762</v>
          </cell>
          <cell r="U38">
            <v>0.6115569823434992</v>
          </cell>
          <cell r="W38">
            <v>23</v>
          </cell>
          <cell r="X38">
            <v>1.4819587628865979E-2</v>
          </cell>
          <cell r="Y38">
            <v>758</v>
          </cell>
          <cell r="Z38">
            <v>0.48840206185567009</v>
          </cell>
          <cell r="AA38">
            <v>771</v>
          </cell>
          <cell r="AB38">
            <v>0.49677835051546393</v>
          </cell>
          <cell r="AC38">
            <v>1246</v>
          </cell>
          <cell r="AD38">
            <v>0.90575916230366493</v>
          </cell>
        </row>
        <row r="40">
          <cell r="A40" t="str">
            <v>A</v>
          </cell>
          <cell r="B40" t="str">
            <v>18:00-19:00</v>
          </cell>
          <cell r="D40">
            <v>1</v>
          </cell>
          <cell r="E40">
            <v>38</v>
          </cell>
          <cell r="F40">
            <v>6</v>
          </cell>
          <cell r="G40">
            <v>62</v>
          </cell>
          <cell r="H40">
            <v>4.7655649500384319E-2</v>
          </cell>
          <cell r="I40">
            <v>17</v>
          </cell>
          <cell r="K40">
            <v>13</v>
          </cell>
          <cell r="L40">
            <v>764</v>
          </cell>
          <cell r="M40">
            <v>547</v>
          </cell>
          <cell r="N40">
            <v>948</v>
          </cell>
          <cell r="O40">
            <v>0.72867025365103766</v>
          </cell>
          <cell r="Q40">
            <v>0</v>
          </cell>
          <cell r="R40">
            <v>179</v>
          </cell>
          <cell r="S40">
            <v>146</v>
          </cell>
          <cell r="T40">
            <v>291</v>
          </cell>
          <cell r="U40">
            <v>0.22367409684857803</v>
          </cell>
          <cell r="W40">
            <v>14</v>
          </cell>
          <cell r="X40">
            <v>8.2644628099173556E-3</v>
          </cell>
          <cell r="Y40">
            <v>981</v>
          </cell>
          <cell r="Z40">
            <v>0.57910271546635184</v>
          </cell>
          <cell r="AA40">
            <v>699</v>
          </cell>
          <cell r="AB40">
            <v>0.41263282172373084</v>
          </cell>
          <cell r="AC40">
            <v>1301</v>
          </cell>
          <cell r="AD40">
            <v>0.91568130630630629</v>
          </cell>
        </row>
        <row r="41">
          <cell r="A41" t="str">
            <v>B</v>
          </cell>
          <cell r="D41">
            <v>2</v>
          </cell>
          <cell r="E41">
            <v>82</v>
          </cell>
          <cell r="F41">
            <v>22</v>
          </cell>
          <cell r="G41">
            <v>139</v>
          </cell>
          <cell r="H41">
            <v>0.19971264367816091</v>
          </cell>
          <cell r="I41">
            <v>2</v>
          </cell>
          <cell r="K41">
            <v>6</v>
          </cell>
          <cell r="L41">
            <v>255</v>
          </cell>
          <cell r="M41">
            <v>773</v>
          </cell>
          <cell r="N41">
            <v>496</v>
          </cell>
          <cell r="O41">
            <v>0.71264367816091956</v>
          </cell>
          <cell r="Q41">
            <v>0</v>
          </cell>
          <cell r="R41">
            <v>42</v>
          </cell>
          <cell r="S41">
            <v>17</v>
          </cell>
          <cell r="T41">
            <v>61</v>
          </cell>
          <cell r="U41">
            <v>8.7643678160919544E-2</v>
          </cell>
          <cell r="W41">
            <v>8</v>
          </cell>
          <cell r="X41">
            <v>6.672226855713094E-3</v>
          </cell>
          <cell r="Y41">
            <v>379</v>
          </cell>
          <cell r="Z41">
            <v>0.31609674728940784</v>
          </cell>
          <cell r="AA41">
            <v>812</v>
          </cell>
          <cell r="AB41">
            <v>0.67723102585487904</v>
          </cell>
          <cell r="AC41">
            <v>696</v>
          </cell>
          <cell r="AD41">
            <v>0.9047061882475298</v>
          </cell>
        </row>
        <row r="42">
          <cell r="A42" t="str">
            <v>C</v>
          </cell>
          <cell r="D42">
            <v>15</v>
          </cell>
          <cell r="E42">
            <v>268</v>
          </cell>
          <cell r="F42">
            <v>50</v>
          </cell>
          <cell r="G42">
            <v>462</v>
          </cell>
          <cell r="H42">
            <v>0.20886075949367089</v>
          </cell>
          <cell r="I42">
            <v>226</v>
          </cell>
          <cell r="K42">
            <v>14</v>
          </cell>
          <cell r="L42">
            <v>1191</v>
          </cell>
          <cell r="M42">
            <v>1105</v>
          </cell>
          <cell r="N42">
            <v>1544</v>
          </cell>
          <cell r="O42">
            <v>0.69801084990958406</v>
          </cell>
          <cell r="Q42">
            <v>2</v>
          </cell>
          <cell r="R42">
            <v>144</v>
          </cell>
          <cell r="S42">
            <v>38</v>
          </cell>
          <cell r="T42">
            <v>206</v>
          </cell>
          <cell r="U42">
            <v>9.3128390596745034E-2</v>
          </cell>
          <cell r="W42">
            <v>31</v>
          </cell>
          <cell r="X42">
            <v>1.0965688008489564E-2</v>
          </cell>
          <cell r="Y42">
            <v>1603</v>
          </cell>
          <cell r="Z42">
            <v>0.56703218960028301</v>
          </cell>
          <cell r="AA42">
            <v>1193</v>
          </cell>
          <cell r="AB42">
            <v>0.42200212239122747</v>
          </cell>
          <cell r="AC42">
            <v>2212</v>
          </cell>
          <cell r="AD42">
            <v>0.89559371456342129</v>
          </cell>
        </row>
        <row r="43">
          <cell r="A43" t="str">
            <v>D</v>
          </cell>
          <cell r="D43">
            <v>0</v>
          </cell>
          <cell r="E43">
            <v>188</v>
          </cell>
          <cell r="F43">
            <v>73</v>
          </cell>
          <cell r="G43">
            <v>319</v>
          </cell>
          <cell r="H43">
            <v>0.16258919469928645</v>
          </cell>
          <cell r="I43">
            <v>10</v>
          </cell>
          <cell r="K43">
            <v>12</v>
          </cell>
          <cell r="L43">
            <v>403</v>
          </cell>
          <cell r="M43">
            <v>670</v>
          </cell>
          <cell r="N43">
            <v>622</v>
          </cell>
          <cell r="O43">
            <v>0.31702344546381245</v>
          </cell>
          <cell r="Q43">
            <v>8</v>
          </cell>
          <cell r="R43">
            <v>679</v>
          </cell>
          <cell r="S43">
            <v>306</v>
          </cell>
          <cell r="T43">
            <v>1021</v>
          </cell>
          <cell r="U43">
            <v>0.5203873598369011</v>
          </cell>
          <cell r="W43">
            <v>20</v>
          </cell>
          <cell r="X43">
            <v>8.5506626763574185E-3</v>
          </cell>
          <cell r="Y43">
            <v>1270</v>
          </cell>
          <cell r="Z43">
            <v>0.54296707994869597</v>
          </cell>
          <cell r="AA43">
            <v>1049</v>
          </cell>
          <cell r="AB43">
            <v>0.44848225737494657</v>
          </cell>
          <cell r="AC43">
            <v>1962</v>
          </cell>
          <cell r="AD43">
            <v>0.93498570066730213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"/>
      <sheetName val="集賢"/>
      <sheetName val="基本"/>
      <sheetName val="累計"/>
      <sheetName val="平日"/>
      <sheetName val="基本時制"/>
      <sheetName val="世曦"/>
      <sheetName val="亂數"/>
      <sheetName val="計算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E34">
            <v>0</v>
          </cell>
          <cell r="F34">
            <v>0</v>
          </cell>
          <cell r="I34">
            <v>0</v>
          </cell>
          <cell r="J34">
            <v>0</v>
          </cell>
        </row>
        <row r="43">
          <cell r="A43">
            <v>0</v>
          </cell>
          <cell r="B43">
            <v>0</v>
          </cell>
          <cell r="E43">
            <v>0</v>
          </cell>
          <cell r="F43">
            <v>0</v>
          </cell>
        </row>
      </sheetData>
      <sheetData sheetId="3"/>
      <sheetData sheetId="4"/>
      <sheetData sheetId="5">
        <row r="7">
          <cell r="G7">
            <v>-5</v>
          </cell>
          <cell r="H7">
            <v>3</v>
          </cell>
          <cell r="I7">
            <v>2</v>
          </cell>
          <cell r="K7">
            <v>-5</v>
          </cell>
          <cell r="L7">
            <v>3</v>
          </cell>
          <cell r="M7">
            <v>2</v>
          </cell>
        </row>
        <row r="9">
          <cell r="G9">
            <v>-5</v>
          </cell>
          <cell r="H9">
            <v>3</v>
          </cell>
          <cell r="I9">
            <v>2</v>
          </cell>
          <cell r="K9">
            <v>-5</v>
          </cell>
          <cell r="L9">
            <v>3</v>
          </cell>
          <cell r="M9">
            <v>2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4EF9-2509-452B-943A-18BACB8DC96C}">
  <dimension ref="A1:P53"/>
  <sheetViews>
    <sheetView workbookViewId="0">
      <selection activeCell="I8" sqref="I8:J9"/>
    </sheetView>
  </sheetViews>
  <sheetFormatPr defaultRowHeight="16.5" x14ac:dyDescent="0.25"/>
  <cols>
    <col min="1" max="1" width="16.875" customWidth="1"/>
    <col min="4" max="4" width="14.75" customWidth="1"/>
  </cols>
  <sheetData>
    <row r="1" spans="1:16" ht="17.25" thickBot="1" x14ac:dyDescent="0.3">
      <c r="A1" s="1" t="s">
        <v>0</v>
      </c>
      <c r="B1" s="2" t="s">
        <v>1</v>
      </c>
      <c r="C1" s="35" t="s">
        <v>2</v>
      </c>
      <c r="D1" s="36"/>
      <c r="E1" s="2" t="s">
        <v>3</v>
      </c>
      <c r="F1" s="2" t="s">
        <v>4</v>
      </c>
      <c r="G1" s="2" t="s">
        <v>5</v>
      </c>
      <c r="M1" t="s">
        <v>78</v>
      </c>
    </row>
    <row r="2" spans="1:16" ht="17.25" thickBot="1" x14ac:dyDescent="0.3">
      <c r="A2" s="3"/>
      <c r="B2" s="4">
        <v>1</v>
      </c>
      <c r="C2" s="35" t="s">
        <v>6</v>
      </c>
      <c r="D2" s="36"/>
      <c r="E2" s="4">
        <v>99</v>
      </c>
      <c r="F2" s="4">
        <v>0.86</v>
      </c>
      <c r="G2" s="4">
        <v>4.96</v>
      </c>
      <c r="I2" t="s">
        <v>56</v>
      </c>
      <c r="J2" s="26">
        <v>1</v>
      </c>
      <c r="M2" t="s">
        <v>79</v>
      </c>
    </row>
    <row r="3" spans="1:16" ht="17.25" thickBot="1" x14ac:dyDescent="0.3">
      <c r="A3" s="5"/>
      <c r="B3" s="4">
        <v>2</v>
      </c>
      <c r="C3" s="35" t="s">
        <v>7</v>
      </c>
      <c r="D3" s="36"/>
      <c r="E3" s="4">
        <v>99</v>
      </c>
      <c r="F3" s="4">
        <v>0.86</v>
      </c>
      <c r="G3" s="4">
        <v>4.96</v>
      </c>
      <c r="I3" t="s">
        <v>57</v>
      </c>
      <c r="J3" s="24">
        <f>VLOOKUP($J$2,$B$2:$G$53,4,FALSE)</f>
        <v>99</v>
      </c>
    </row>
    <row r="4" spans="1:16" ht="17.25" thickBot="1" x14ac:dyDescent="0.3">
      <c r="A4" s="5"/>
      <c r="B4" s="4">
        <v>3</v>
      </c>
      <c r="C4" s="35" t="s">
        <v>8</v>
      </c>
      <c r="D4" s="36"/>
      <c r="E4" s="4">
        <v>90</v>
      </c>
      <c r="F4" s="4">
        <v>0.86</v>
      </c>
      <c r="G4" s="4">
        <v>4.96</v>
      </c>
      <c r="I4" t="s">
        <v>58</v>
      </c>
      <c r="J4" s="24">
        <f>VLOOKUP($J$2,$B$2:$G$53,5,FALSE)</f>
        <v>0.86</v>
      </c>
    </row>
    <row r="5" spans="1:16" ht="17.25" thickBot="1" x14ac:dyDescent="0.3">
      <c r="A5" s="5"/>
      <c r="B5" s="4">
        <v>4</v>
      </c>
      <c r="C5" s="35" t="s">
        <v>9</v>
      </c>
      <c r="D5" s="36"/>
      <c r="E5" s="4">
        <v>80</v>
      </c>
      <c r="F5" s="4">
        <v>0.86</v>
      </c>
      <c r="G5" s="4">
        <v>4.96</v>
      </c>
      <c r="I5" t="s">
        <v>59</v>
      </c>
      <c r="J5" s="24">
        <f>VLOOKUP($J$2,$B$2:$G$53,6,FALSE)</f>
        <v>4.96</v>
      </c>
    </row>
    <row r="6" spans="1:16" ht="17.25" thickBot="1" x14ac:dyDescent="0.3">
      <c r="A6" s="6">
        <v>1</v>
      </c>
      <c r="B6" s="4">
        <v>5</v>
      </c>
      <c r="C6" s="35" t="s">
        <v>10</v>
      </c>
      <c r="D6" s="36"/>
      <c r="E6" s="4">
        <v>70</v>
      </c>
      <c r="F6" s="4">
        <v>1.1399999999999999</v>
      </c>
      <c r="G6" s="4">
        <v>4.26</v>
      </c>
    </row>
    <row r="7" spans="1:16" ht="17.25" thickBot="1" x14ac:dyDescent="0.3">
      <c r="A7" s="7" t="s">
        <v>11</v>
      </c>
      <c r="B7" s="4">
        <v>6</v>
      </c>
      <c r="C7" s="39" t="s">
        <v>12</v>
      </c>
      <c r="D7" s="8" t="s">
        <v>13</v>
      </c>
      <c r="E7" s="4">
        <v>40</v>
      </c>
      <c r="F7" s="4">
        <v>0.82</v>
      </c>
      <c r="G7" s="4">
        <v>4.9400000000000004</v>
      </c>
      <c r="N7" s="28"/>
      <c r="P7" s="26"/>
    </row>
    <row r="8" spans="1:16" ht="17.25" thickBot="1" x14ac:dyDescent="0.3">
      <c r="A8" s="9"/>
      <c r="B8" s="4">
        <v>7</v>
      </c>
      <c r="C8" s="40"/>
      <c r="D8" s="8" t="s">
        <v>14</v>
      </c>
      <c r="E8" s="4">
        <v>40</v>
      </c>
      <c r="F8" s="4">
        <v>1</v>
      </c>
      <c r="G8" s="4">
        <v>4.76</v>
      </c>
      <c r="I8" s="29" t="s">
        <v>61</v>
      </c>
      <c r="N8" s="28"/>
      <c r="P8" s="24"/>
    </row>
    <row r="9" spans="1:16" ht="17.25" thickBot="1" x14ac:dyDescent="0.3">
      <c r="A9" s="11"/>
      <c r="B9" s="4">
        <v>11</v>
      </c>
      <c r="C9" s="35" t="s">
        <v>15</v>
      </c>
      <c r="D9" s="36"/>
      <c r="E9" s="4">
        <v>90</v>
      </c>
      <c r="F9" s="4">
        <v>1.1399999999999999</v>
      </c>
      <c r="G9" s="4">
        <v>4.26</v>
      </c>
      <c r="I9" s="30">
        <v>0.56000000000000005</v>
      </c>
      <c r="J9">
        <f>J3/(1+J4*I9^J5)</f>
        <v>94.422920114001869</v>
      </c>
      <c r="N9" s="28"/>
      <c r="P9" s="24"/>
    </row>
    <row r="10" spans="1:16" ht="17.25" thickBot="1" x14ac:dyDescent="0.3">
      <c r="A10" s="5"/>
      <c r="B10" s="4">
        <v>12</v>
      </c>
      <c r="C10" s="35" t="s">
        <v>16</v>
      </c>
      <c r="D10" s="36"/>
      <c r="E10" s="4">
        <v>80</v>
      </c>
      <c r="F10" s="4">
        <v>1.1399999999999999</v>
      </c>
      <c r="G10" s="4">
        <v>4.26</v>
      </c>
      <c r="N10" s="28"/>
      <c r="P10" s="24"/>
    </row>
    <row r="11" spans="1:16" ht="17.25" thickBot="1" x14ac:dyDescent="0.3">
      <c r="A11" s="5"/>
      <c r="B11" s="4">
        <v>13</v>
      </c>
      <c r="C11" s="35" t="s">
        <v>17</v>
      </c>
      <c r="D11" s="36"/>
      <c r="E11" s="4">
        <v>74</v>
      </c>
      <c r="F11" s="4">
        <v>1.1399999999999999</v>
      </c>
      <c r="G11" s="4">
        <v>4.26</v>
      </c>
    </row>
    <row r="12" spans="1:16" ht="17.25" thickBot="1" x14ac:dyDescent="0.3">
      <c r="A12" s="6">
        <v>2</v>
      </c>
      <c r="B12" s="4">
        <v>14</v>
      </c>
      <c r="C12" s="35" t="s">
        <v>10</v>
      </c>
      <c r="D12" s="36"/>
      <c r="E12" s="4">
        <v>68</v>
      </c>
      <c r="F12" s="4">
        <v>1.1399999999999999</v>
      </c>
      <c r="G12" s="4">
        <v>4.26</v>
      </c>
    </row>
    <row r="13" spans="1:16" ht="17.25" thickBot="1" x14ac:dyDescent="0.3">
      <c r="A13" s="7" t="s">
        <v>18</v>
      </c>
      <c r="B13" s="4">
        <v>15</v>
      </c>
      <c r="C13" s="39" t="s">
        <v>12</v>
      </c>
      <c r="D13" s="8" t="s">
        <v>13</v>
      </c>
      <c r="E13" s="4">
        <v>40</v>
      </c>
      <c r="F13" s="4">
        <v>0.82</v>
      </c>
      <c r="G13" s="4">
        <v>4.9400000000000004</v>
      </c>
    </row>
    <row r="14" spans="1:16" ht="17.25" thickBot="1" x14ac:dyDescent="0.3">
      <c r="A14" s="9"/>
      <c r="B14" s="4">
        <v>16</v>
      </c>
      <c r="C14" s="40"/>
      <c r="D14" s="8" t="s">
        <v>14</v>
      </c>
      <c r="E14" s="4">
        <v>40</v>
      </c>
      <c r="F14" s="4">
        <v>1</v>
      </c>
      <c r="G14" s="4">
        <v>4.76</v>
      </c>
    </row>
    <row r="15" spans="1:16" ht="17.25" thickBot="1" x14ac:dyDescent="0.3">
      <c r="A15" s="12"/>
      <c r="B15" s="4">
        <v>21</v>
      </c>
      <c r="C15" s="35" t="s">
        <v>19</v>
      </c>
      <c r="D15" s="36"/>
      <c r="E15" s="4">
        <v>60</v>
      </c>
      <c r="F15" s="4">
        <v>1.93</v>
      </c>
      <c r="G15" s="4">
        <v>3.19</v>
      </c>
    </row>
    <row r="16" spans="1:16" ht="17.25" thickBot="1" x14ac:dyDescent="0.3">
      <c r="A16" s="5"/>
      <c r="B16" s="4">
        <v>22</v>
      </c>
      <c r="C16" s="35" t="s">
        <v>20</v>
      </c>
      <c r="D16" s="36"/>
      <c r="E16" s="4">
        <v>70</v>
      </c>
      <c r="F16" s="4">
        <v>1.39</v>
      </c>
      <c r="G16" s="4">
        <v>4.34</v>
      </c>
    </row>
    <row r="17" spans="1:7" ht="17.25" thickBot="1" x14ac:dyDescent="0.3">
      <c r="A17" s="5"/>
      <c r="B17" s="4">
        <v>23</v>
      </c>
      <c r="C17" s="35" t="s">
        <v>21</v>
      </c>
      <c r="D17" s="36"/>
      <c r="E17" s="4">
        <v>70</v>
      </c>
      <c r="F17" s="4">
        <v>0.59</v>
      </c>
      <c r="G17" s="4">
        <v>4.46</v>
      </c>
    </row>
    <row r="18" spans="1:7" ht="17.25" thickBot="1" x14ac:dyDescent="0.3">
      <c r="A18" s="5"/>
      <c r="B18" s="4">
        <v>24</v>
      </c>
      <c r="C18" s="35" t="s">
        <v>22</v>
      </c>
      <c r="D18" s="36"/>
      <c r="E18" s="4">
        <v>50</v>
      </c>
      <c r="F18" s="4">
        <v>3.59</v>
      </c>
      <c r="G18" s="4">
        <v>2.71</v>
      </c>
    </row>
    <row r="19" spans="1:7" ht="17.25" thickBot="1" x14ac:dyDescent="0.3">
      <c r="A19" s="5"/>
      <c r="B19" s="4">
        <v>25</v>
      </c>
      <c r="C19" s="35" t="s">
        <v>23</v>
      </c>
      <c r="D19" s="36"/>
      <c r="E19" s="4">
        <v>60</v>
      </c>
      <c r="F19" s="4">
        <v>1.56</v>
      </c>
      <c r="G19" s="4">
        <v>2.7</v>
      </c>
    </row>
    <row r="20" spans="1:7" ht="17.25" thickBot="1" x14ac:dyDescent="0.3">
      <c r="A20" s="5"/>
      <c r="B20" s="4">
        <v>26</v>
      </c>
      <c r="C20" s="35" t="s">
        <v>24</v>
      </c>
      <c r="D20" s="36"/>
      <c r="E20" s="4">
        <v>60</v>
      </c>
      <c r="F20" s="4">
        <v>1.56</v>
      </c>
      <c r="G20" s="4">
        <v>2.7</v>
      </c>
    </row>
    <row r="21" spans="1:7" ht="17.25" thickBot="1" x14ac:dyDescent="0.3">
      <c r="A21" s="6">
        <v>3</v>
      </c>
      <c r="B21" s="4">
        <v>27</v>
      </c>
      <c r="C21" s="35" t="s">
        <v>25</v>
      </c>
      <c r="D21" s="36"/>
      <c r="E21" s="4">
        <v>50</v>
      </c>
      <c r="F21" s="4">
        <v>3.76</v>
      </c>
      <c r="G21" s="4">
        <v>3.29</v>
      </c>
    </row>
    <row r="22" spans="1:7" ht="17.25" thickBot="1" x14ac:dyDescent="0.3">
      <c r="A22" s="7" t="s">
        <v>26</v>
      </c>
      <c r="B22" s="4">
        <v>28</v>
      </c>
      <c r="C22" s="35" t="s">
        <v>27</v>
      </c>
      <c r="D22" s="36"/>
      <c r="E22" s="4">
        <v>60</v>
      </c>
      <c r="F22" s="4">
        <v>3.08</v>
      </c>
      <c r="G22" s="4">
        <v>3.78</v>
      </c>
    </row>
    <row r="23" spans="1:7" ht="17.25" thickBot="1" x14ac:dyDescent="0.3">
      <c r="A23" s="13"/>
      <c r="B23" s="4">
        <v>29</v>
      </c>
      <c r="C23" s="35" t="s">
        <v>28</v>
      </c>
      <c r="D23" s="36"/>
      <c r="E23" s="4">
        <v>45</v>
      </c>
      <c r="F23" s="4">
        <v>1.76</v>
      </c>
      <c r="G23" s="4">
        <v>2.79</v>
      </c>
    </row>
    <row r="24" spans="1:7" ht="17.25" thickBot="1" x14ac:dyDescent="0.3">
      <c r="A24" s="9"/>
      <c r="B24" s="4">
        <v>30</v>
      </c>
      <c r="C24" s="35" t="s">
        <v>10</v>
      </c>
      <c r="D24" s="36"/>
      <c r="E24" s="4">
        <v>68</v>
      </c>
      <c r="F24" s="4">
        <v>1.43</v>
      </c>
      <c r="G24" s="4">
        <v>4.1399999999999997</v>
      </c>
    </row>
    <row r="25" spans="1:7" ht="17.25" thickBot="1" x14ac:dyDescent="0.3">
      <c r="A25" s="12"/>
      <c r="B25" s="4">
        <v>31</v>
      </c>
      <c r="C25" s="35" t="s">
        <v>19</v>
      </c>
      <c r="D25" s="36"/>
      <c r="E25" s="4">
        <v>60</v>
      </c>
      <c r="F25" s="4">
        <v>1.93</v>
      </c>
      <c r="G25" s="4">
        <v>3.19</v>
      </c>
    </row>
    <row r="26" spans="1:7" ht="17.25" thickBot="1" x14ac:dyDescent="0.3">
      <c r="A26" s="5"/>
      <c r="B26" s="4">
        <v>32</v>
      </c>
      <c r="C26" s="35" t="s">
        <v>20</v>
      </c>
      <c r="D26" s="36"/>
      <c r="E26" s="4">
        <v>70</v>
      </c>
      <c r="F26" s="4">
        <v>1.39</v>
      </c>
      <c r="G26" s="4">
        <v>4.34</v>
      </c>
    </row>
    <row r="27" spans="1:7" ht="17.25" thickBot="1" x14ac:dyDescent="0.3">
      <c r="A27" s="5"/>
      <c r="B27" s="4">
        <v>33</v>
      </c>
      <c r="C27" s="35" t="s">
        <v>21</v>
      </c>
      <c r="D27" s="36"/>
      <c r="E27" s="4">
        <v>70</v>
      </c>
      <c r="F27" s="4">
        <v>0.59</v>
      </c>
      <c r="G27" s="4">
        <v>4.46</v>
      </c>
    </row>
    <row r="28" spans="1:7" ht="17.25" thickBot="1" x14ac:dyDescent="0.3">
      <c r="A28" s="5"/>
      <c r="B28" s="4">
        <v>34</v>
      </c>
      <c r="C28" s="35" t="s">
        <v>22</v>
      </c>
      <c r="D28" s="36"/>
      <c r="E28" s="4">
        <v>50</v>
      </c>
      <c r="F28" s="4">
        <v>3.59</v>
      </c>
      <c r="G28" s="4">
        <v>2.71</v>
      </c>
    </row>
    <row r="29" spans="1:7" ht="17.25" thickBot="1" x14ac:dyDescent="0.3">
      <c r="A29" s="5"/>
      <c r="B29" s="4">
        <v>35</v>
      </c>
      <c r="C29" s="35" t="s">
        <v>23</v>
      </c>
      <c r="D29" s="36"/>
      <c r="E29" s="4">
        <v>60</v>
      </c>
      <c r="F29" s="4">
        <v>1.56</v>
      </c>
      <c r="G29" s="4">
        <v>2.7</v>
      </c>
    </row>
    <row r="30" spans="1:7" ht="17.25" thickBot="1" x14ac:dyDescent="0.3">
      <c r="A30" s="5"/>
      <c r="B30" s="4">
        <v>36</v>
      </c>
      <c r="C30" s="35" t="s">
        <v>24</v>
      </c>
      <c r="D30" s="36"/>
      <c r="E30" s="4">
        <v>60</v>
      </c>
      <c r="F30" s="4">
        <v>1.56</v>
      </c>
      <c r="G30" s="4">
        <v>2.7</v>
      </c>
    </row>
    <row r="31" spans="1:7" ht="17.25" thickBot="1" x14ac:dyDescent="0.3">
      <c r="A31" s="6">
        <v>4</v>
      </c>
      <c r="B31" s="4">
        <v>37</v>
      </c>
      <c r="C31" s="35" t="s">
        <v>25</v>
      </c>
      <c r="D31" s="36"/>
      <c r="E31" s="4">
        <v>50</v>
      </c>
      <c r="F31" s="4">
        <v>3.76</v>
      </c>
      <c r="G31" s="4">
        <v>3.29</v>
      </c>
    </row>
    <row r="32" spans="1:7" ht="17.25" thickBot="1" x14ac:dyDescent="0.3">
      <c r="A32" s="7" t="s">
        <v>29</v>
      </c>
      <c r="B32" s="4">
        <v>38</v>
      </c>
      <c r="C32" s="35" t="s">
        <v>27</v>
      </c>
      <c r="D32" s="36"/>
      <c r="E32" s="4">
        <v>60</v>
      </c>
      <c r="F32" s="4">
        <v>3.08</v>
      </c>
      <c r="G32" s="4">
        <v>3.78</v>
      </c>
    </row>
    <row r="33" spans="1:7" ht="17.25" thickBot="1" x14ac:dyDescent="0.3">
      <c r="A33" s="13"/>
      <c r="B33" s="4">
        <v>39</v>
      </c>
      <c r="C33" s="35" t="s">
        <v>28</v>
      </c>
      <c r="D33" s="36"/>
      <c r="E33" s="4">
        <v>45</v>
      </c>
      <c r="F33" s="4">
        <v>1.76</v>
      </c>
      <c r="G33" s="4">
        <v>2.79</v>
      </c>
    </row>
    <row r="34" spans="1:7" ht="17.25" thickBot="1" x14ac:dyDescent="0.3">
      <c r="A34" s="9"/>
      <c r="B34" s="4">
        <v>40</v>
      </c>
      <c r="C34" s="35" t="s">
        <v>10</v>
      </c>
      <c r="D34" s="36"/>
      <c r="E34" s="4">
        <v>68</v>
      </c>
      <c r="F34" s="4">
        <v>1.43</v>
      </c>
      <c r="G34" s="4">
        <v>4.1399999999999997</v>
      </c>
    </row>
    <row r="35" spans="1:7" ht="17.25" thickBot="1" x14ac:dyDescent="0.3">
      <c r="A35" s="12"/>
      <c r="B35" s="4">
        <v>41</v>
      </c>
      <c r="C35" s="35" t="s">
        <v>19</v>
      </c>
      <c r="D35" s="36"/>
      <c r="E35" s="4">
        <v>50</v>
      </c>
      <c r="F35" s="4">
        <v>1.93</v>
      </c>
      <c r="G35" s="4">
        <v>3.19</v>
      </c>
    </row>
    <row r="36" spans="1:7" ht="17.25" thickBot="1" x14ac:dyDescent="0.3">
      <c r="A36" s="5"/>
      <c r="B36" s="4">
        <v>42</v>
      </c>
      <c r="C36" s="35" t="s">
        <v>20</v>
      </c>
      <c r="D36" s="36"/>
      <c r="E36" s="4">
        <v>60</v>
      </c>
      <c r="F36" s="4">
        <v>1.39</v>
      </c>
      <c r="G36" s="4">
        <v>4.34</v>
      </c>
    </row>
    <row r="37" spans="1:7" ht="17.25" thickBot="1" x14ac:dyDescent="0.3">
      <c r="A37" s="5"/>
      <c r="B37" s="4">
        <v>43</v>
      </c>
      <c r="C37" s="35" t="s">
        <v>21</v>
      </c>
      <c r="D37" s="36"/>
      <c r="E37" s="4">
        <v>60</v>
      </c>
      <c r="F37" s="4">
        <v>0.59</v>
      </c>
      <c r="G37" s="4">
        <v>4.46</v>
      </c>
    </row>
    <row r="38" spans="1:7" ht="17.25" thickBot="1" x14ac:dyDescent="0.3">
      <c r="A38" s="5"/>
      <c r="B38" s="4">
        <v>44</v>
      </c>
      <c r="C38" s="35" t="s">
        <v>22</v>
      </c>
      <c r="D38" s="36"/>
      <c r="E38" s="4">
        <v>40</v>
      </c>
      <c r="F38" s="4">
        <v>3.59</v>
      </c>
      <c r="G38" s="4">
        <v>2.71</v>
      </c>
    </row>
    <row r="39" spans="1:7" ht="17.25" thickBot="1" x14ac:dyDescent="0.3">
      <c r="A39" s="5"/>
      <c r="B39" s="4">
        <v>45</v>
      </c>
      <c r="C39" s="35" t="s">
        <v>23</v>
      </c>
      <c r="D39" s="36"/>
      <c r="E39" s="4">
        <v>50</v>
      </c>
      <c r="F39" s="4">
        <v>1.56</v>
      </c>
      <c r="G39" s="4">
        <v>2.7</v>
      </c>
    </row>
    <row r="40" spans="1:7" ht="17.25" thickBot="1" x14ac:dyDescent="0.3">
      <c r="A40" s="5"/>
      <c r="B40" s="4">
        <v>46</v>
      </c>
      <c r="C40" s="35" t="s">
        <v>24</v>
      </c>
      <c r="D40" s="36"/>
      <c r="E40" s="4">
        <v>50</v>
      </c>
      <c r="F40" s="4">
        <v>1.56</v>
      </c>
      <c r="G40" s="4">
        <v>2.7</v>
      </c>
    </row>
    <row r="41" spans="1:7" ht="17.25" thickBot="1" x14ac:dyDescent="0.3">
      <c r="A41" s="6">
        <v>5</v>
      </c>
      <c r="B41" s="4">
        <v>47</v>
      </c>
      <c r="C41" s="35" t="s">
        <v>25</v>
      </c>
      <c r="D41" s="36"/>
      <c r="E41" s="4">
        <v>40</v>
      </c>
      <c r="F41" s="4">
        <v>3.76</v>
      </c>
      <c r="G41" s="4">
        <v>3.29</v>
      </c>
    </row>
    <row r="42" spans="1:7" ht="17.25" thickBot="1" x14ac:dyDescent="0.3">
      <c r="A42" s="7" t="s">
        <v>30</v>
      </c>
      <c r="B42" s="4">
        <v>48</v>
      </c>
      <c r="C42" s="35" t="s">
        <v>31</v>
      </c>
      <c r="D42" s="36"/>
      <c r="E42" s="4">
        <v>50</v>
      </c>
      <c r="F42" s="4">
        <v>3.08</v>
      </c>
      <c r="G42" s="4">
        <v>3.78</v>
      </c>
    </row>
    <row r="43" spans="1:7" ht="17.25" thickBot="1" x14ac:dyDescent="0.3">
      <c r="A43" s="13"/>
      <c r="B43" s="4">
        <v>49</v>
      </c>
      <c r="C43" s="35" t="s">
        <v>28</v>
      </c>
      <c r="D43" s="36"/>
      <c r="E43" s="4">
        <v>45</v>
      </c>
      <c r="F43" s="4">
        <v>1.76</v>
      </c>
      <c r="G43" s="4">
        <v>2.79</v>
      </c>
    </row>
    <row r="44" spans="1:7" ht="17.25" thickBot="1" x14ac:dyDescent="0.3">
      <c r="A44" s="9"/>
      <c r="B44" s="4">
        <v>50</v>
      </c>
      <c r="C44" s="35" t="s">
        <v>10</v>
      </c>
      <c r="D44" s="36"/>
      <c r="E44" s="4">
        <v>68</v>
      </c>
      <c r="F44" s="4">
        <v>1.43</v>
      </c>
      <c r="G44" s="4">
        <v>4.1399999999999997</v>
      </c>
    </row>
    <row r="45" spans="1:7" ht="17.25" thickBot="1" x14ac:dyDescent="0.3">
      <c r="A45" s="14"/>
      <c r="B45" s="2">
        <v>51</v>
      </c>
      <c r="C45" s="35" t="s">
        <v>32</v>
      </c>
      <c r="D45" s="36"/>
      <c r="E45" s="2">
        <v>57</v>
      </c>
      <c r="F45" s="2">
        <v>0.39</v>
      </c>
      <c r="G45" s="2">
        <v>7.75</v>
      </c>
    </row>
    <row r="46" spans="1:7" ht="17.25" thickBot="1" x14ac:dyDescent="0.3">
      <c r="A46" s="6">
        <v>6</v>
      </c>
      <c r="B46" s="4">
        <v>52</v>
      </c>
      <c r="C46" s="35" t="s">
        <v>33</v>
      </c>
      <c r="D46" s="36"/>
      <c r="E46" s="4">
        <v>39</v>
      </c>
      <c r="F46" s="4">
        <v>0.84</v>
      </c>
      <c r="G46" s="4">
        <v>6.22</v>
      </c>
    </row>
    <row r="47" spans="1:7" ht="17.25" thickBot="1" x14ac:dyDescent="0.3">
      <c r="A47" s="10" t="s">
        <v>34</v>
      </c>
      <c r="B47" s="4">
        <v>53</v>
      </c>
      <c r="C47" s="35" t="s">
        <v>35</v>
      </c>
      <c r="D47" s="36"/>
      <c r="E47" s="4">
        <v>33</v>
      </c>
      <c r="F47" s="4">
        <v>1.39</v>
      </c>
      <c r="G47" s="4">
        <v>4.87</v>
      </c>
    </row>
    <row r="48" spans="1:7" ht="19.5" thickBot="1" x14ac:dyDescent="0.3">
      <c r="A48" s="15"/>
      <c r="B48" s="4">
        <v>54</v>
      </c>
      <c r="C48" s="35" t="s">
        <v>36</v>
      </c>
      <c r="D48" s="36"/>
      <c r="E48" s="4">
        <v>41</v>
      </c>
      <c r="F48" s="4">
        <v>1.56</v>
      </c>
      <c r="G48" s="4">
        <v>3.68</v>
      </c>
    </row>
    <row r="49" spans="1:7" ht="17.25" thickBot="1" x14ac:dyDescent="0.3">
      <c r="A49" s="6">
        <v>7</v>
      </c>
      <c r="B49" s="4">
        <v>55</v>
      </c>
      <c r="C49" s="35" t="s">
        <v>37</v>
      </c>
      <c r="D49" s="36"/>
      <c r="E49" s="4">
        <v>43</v>
      </c>
      <c r="F49" s="4">
        <v>3.76</v>
      </c>
      <c r="G49" s="4">
        <v>3.29</v>
      </c>
    </row>
    <row r="50" spans="1:7" ht="17.25" thickBot="1" x14ac:dyDescent="0.3">
      <c r="A50" s="7" t="s">
        <v>38</v>
      </c>
      <c r="B50" s="4">
        <v>56</v>
      </c>
      <c r="C50" s="35" t="s">
        <v>28</v>
      </c>
      <c r="D50" s="36"/>
      <c r="E50" s="4">
        <v>45</v>
      </c>
      <c r="F50" s="4">
        <v>1.76</v>
      </c>
      <c r="G50" s="4">
        <v>2.79</v>
      </c>
    </row>
    <row r="51" spans="1:7" ht="17.25" thickBot="1" x14ac:dyDescent="0.3">
      <c r="A51" s="9"/>
      <c r="B51" s="4">
        <v>57</v>
      </c>
      <c r="C51" s="35" t="s">
        <v>10</v>
      </c>
      <c r="D51" s="36"/>
      <c r="E51" s="4">
        <v>68</v>
      </c>
      <c r="F51" s="4">
        <v>1.43</v>
      </c>
      <c r="G51" s="4">
        <v>4.1399999999999997</v>
      </c>
    </row>
    <row r="52" spans="1:7" ht="17.25" thickBot="1" x14ac:dyDescent="0.3">
      <c r="A52" s="6">
        <v>8</v>
      </c>
      <c r="B52" s="4">
        <v>99</v>
      </c>
      <c r="C52" s="35" t="s">
        <v>39</v>
      </c>
      <c r="D52" s="36"/>
      <c r="E52" s="4">
        <v>20</v>
      </c>
      <c r="F52" s="4">
        <v>0</v>
      </c>
      <c r="G52" s="4">
        <v>1</v>
      </c>
    </row>
    <row r="53" spans="1:7" ht="17.25" thickBot="1" x14ac:dyDescent="0.3">
      <c r="A53" s="10" t="s">
        <v>39</v>
      </c>
      <c r="B53" s="4"/>
      <c r="C53" s="37"/>
      <c r="D53" s="38"/>
      <c r="E53" s="4"/>
      <c r="F53" s="4"/>
      <c r="G53" s="4"/>
    </row>
  </sheetData>
  <mergeCells count="51">
    <mergeCell ref="C6:D6"/>
    <mergeCell ref="C1:D1"/>
    <mergeCell ref="C2:D2"/>
    <mergeCell ref="C3:D3"/>
    <mergeCell ref="C4:D4"/>
    <mergeCell ref="C5:D5"/>
    <mergeCell ref="C20:D20"/>
    <mergeCell ref="C7:C8"/>
    <mergeCell ref="C9:D9"/>
    <mergeCell ref="C10:D10"/>
    <mergeCell ref="C11:D11"/>
    <mergeCell ref="C12:D12"/>
    <mergeCell ref="C13:C14"/>
    <mergeCell ref="C15:D15"/>
    <mergeCell ref="C16:D16"/>
    <mergeCell ref="C17:D17"/>
    <mergeCell ref="C18:D18"/>
    <mergeCell ref="C19:D19"/>
    <mergeCell ref="C32:D32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44:D44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1:D51"/>
    <mergeCell ref="C52:D52"/>
    <mergeCell ref="C53:D53"/>
    <mergeCell ref="C45:D45"/>
    <mergeCell ref="C46:D46"/>
    <mergeCell ref="C47:D47"/>
    <mergeCell ref="C48:D48"/>
    <mergeCell ref="C49:D49"/>
    <mergeCell ref="C50:D5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6B9B-168C-44F7-A29F-90E50F2AF5D5}">
  <dimension ref="A1:M15"/>
  <sheetViews>
    <sheetView workbookViewId="0">
      <selection activeCell="I8" sqref="I8:J9"/>
    </sheetView>
  </sheetViews>
  <sheetFormatPr defaultRowHeight="16.5" x14ac:dyDescent="0.25"/>
  <cols>
    <col min="1" max="1" width="17.375" customWidth="1"/>
  </cols>
  <sheetData>
    <row r="1" spans="1:13" x14ac:dyDescent="0.25">
      <c r="A1" s="41" t="s">
        <v>40</v>
      </c>
      <c r="B1" s="41"/>
      <c r="C1" s="41"/>
      <c r="D1" s="41"/>
      <c r="E1" s="41"/>
    </row>
    <row r="2" spans="1:13" x14ac:dyDescent="0.25">
      <c r="A2" s="16" t="s">
        <v>41</v>
      </c>
      <c r="B2" s="17" t="s">
        <v>60</v>
      </c>
      <c r="C2" s="16" t="s">
        <v>55</v>
      </c>
      <c r="D2" s="25" t="s">
        <v>4</v>
      </c>
      <c r="E2" s="27" t="s">
        <v>5</v>
      </c>
      <c r="I2" t="s">
        <v>56</v>
      </c>
      <c r="J2" s="26">
        <v>1</v>
      </c>
      <c r="M2" t="s">
        <v>80</v>
      </c>
    </row>
    <row r="3" spans="1:13" x14ac:dyDescent="0.25">
      <c r="A3" s="18" t="s">
        <v>42</v>
      </c>
      <c r="B3" s="19">
        <v>1</v>
      </c>
      <c r="C3" s="18">
        <v>93</v>
      </c>
      <c r="D3" s="18">
        <v>0.89810000000000001</v>
      </c>
      <c r="E3" s="18">
        <v>4.9896000000000003</v>
      </c>
      <c r="I3" t="s">
        <v>57</v>
      </c>
      <c r="J3" s="24">
        <f>VLOOKUP($J$2,$B$2:$E$15,2,FALSE)</f>
        <v>93</v>
      </c>
    </row>
    <row r="4" spans="1:13" x14ac:dyDescent="0.25">
      <c r="A4" s="18" t="s">
        <v>43</v>
      </c>
      <c r="B4" s="20">
        <v>2</v>
      </c>
      <c r="C4" s="18">
        <v>90</v>
      </c>
      <c r="D4" s="18">
        <v>1.0304</v>
      </c>
      <c r="E4" s="18">
        <v>4.7481</v>
      </c>
      <c r="I4" t="s">
        <v>58</v>
      </c>
      <c r="J4" s="24">
        <f>VLOOKUP($J$2,$B$2:$E$15,3,FALSE)</f>
        <v>0.89810000000000001</v>
      </c>
    </row>
    <row r="5" spans="1:13" x14ac:dyDescent="0.25">
      <c r="A5" s="18" t="s">
        <v>44</v>
      </c>
      <c r="B5" s="20">
        <v>3</v>
      </c>
      <c r="C5" s="18">
        <v>60</v>
      </c>
      <c r="D5" s="18">
        <v>0.4325</v>
      </c>
      <c r="E5" s="18">
        <v>6.4733999999999998</v>
      </c>
      <c r="I5" t="s">
        <v>59</v>
      </c>
      <c r="J5" s="24">
        <f>VLOOKUP($J$2,$B$2:$E$15,4,FALSE)</f>
        <v>4.9896000000000003</v>
      </c>
    </row>
    <row r="6" spans="1:13" x14ac:dyDescent="0.25">
      <c r="A6" s="18" t="s">
        <v>45</v>
      </c>
      <c r="B6" s="20">
        <v>4</v>
      </c>
      <c r="C6" s="18">
        <v>33</v>
      </c>
      <c r="D6" s="18">
        <v>1.9119999999999999</v>
      </c>
      <c r="E6" s="18">
        <v>0.94899999999999995</v>
      </c>
    </row>
    <row r="7" spans="1:13" x14ac:dyDescent="0.25">
      <c r="A7" s="18" t="s">
        <v>46</v>
      </c>
      <c r="B7" s="20">
        <v>5</v>
      </c>
      <c r="C7" s="18">
        <v>39</v>
      </c>
      <c r="D7" s="18">
        <v>1.165</v>
      </c>
      <c r="E7" s="18">
        <v>4.7539999999999996</v>
      </c>
    </row>
    <row r="8" spans="1:13" x14ac:dyDescent="0.25">
      <c r="A8" s="18" t="s">
        <v>47</v>
      </c>
      <c r="B8" s="20">
        <v>6</v>
      </c>
      <c r="C8" s="18">
        <v>57</v>
      </c>
      <c r="D8" s="18">
        <v>1.397</v>
      </c>
      <c r="E8" s="18">
        <v>1.1659999999999999</v>
      </c>
      <c r="I8" s="29" t="s">
        <v>61</v>
      </c>
    </row>
    <row r="9" spans="1:13" x14ac:dyDescent="0.25">
      <c r="A9" s="18" t="s">
        <v>48</v>
      </c>
      <c r="B9" s="20">
        <v>7</v>
      </c>
      <c r="C9" s="18">
        <v>60</v>
      </c>
      <c r="D9" s="18">
        <v>1.397</v>
      </c>
      <c r="E9" s="18">
        <v>1.1659999999999999</v>
      </c>
      <c r="I9" s="30">
        <v>0.56000000000000005</v>
      </c>
      <c r="J9">
        <f>J3/(1+J4*I9^J5)</f>
        <v>88.591646147603598</v>
      </c>
    </row>
    <row r="10" spans="1:13" x14ac:dyDescent="0.25">
      <c r="A10" s="18" t="s">
        <v>49</v>
      </c>
      <c r="B10" s="20">
        <v>8</v>
      </c>
      <c r="C10" s="18">
        <v>70</v>
      </c>
      <c r="D10" s="18">
        <v>1.0587</v>
      </c>
      <c r="E10" s="18">
        <v>4.8220000000000001</v>
      </c>
    </row>
    <row r="11" spans="1:13" x14ac:dyDescent="0.25">
      <c r="A11" s="18" t="s">
        <v>50</v>
      </c>
      <c r="B11" s="20">
        <v>9</v>
      </c>
      <c r="C11" s="18">
        <v>65</v>
      </c>
      <c r="D11" s="18">
        <v>1.7224999999999999</v>
      </c>
      <c r="E11" s="18">
        <v>2.8176000000000001</v>
      </c>
    </row>
    <row r="12" spans="1:13" x14ac:dyDescent="0.25">
      <c r="A12" s="18" t="s">
        <v>51</v>
      </c>
      <c r="B12" s="20">
        <v>10</v>
      </c>
      <c r="C12" s="18">
        <v>50</v>
      </c>
      <c r="D12" s="18">
        <v>4.4800000000000004</v>
      </c>
      <c r="E12" s="18">
        <v>2.86</v>
      </c>
    </row>
    <row r="13" spans="1:13" x14ac:dyDescent="0.25">
      <c r="A13" s="21" t="s">
        <v>52</v>
      </c>
      <c r="B13" s="22">
        <v>11</v>
      </c>
      <c r="C13" s="18">
        <v>60</v>
      </c>
      <c r="D13" s="18">
        <v>0</v>
      </c>
      <c r="E13" s="18">
        <v>1.0009999999999999</v>
      </c>
    </row>
    <row r="14" spans="1:13" x14ac:dyDescent="0.25">
      <c r="A14" s="21" t="s">
        <v>53</v>
      </c>
      <c r="B14" s="22">
        <v>12</v>
      </c>
      <c r="C14" s="18">
        <v>60</v>
      </c>
      <c r="D14" s="18">
        <v>0</v>
      </c>
      <c r="E14" s="18">
        <v>1.0009999999999999</v>
      </c>
    </row>
    <row r="15" spans="1:13" x14ac:dyDescent="0.25">
      <c r="A15" s="21" t="s">
        <v>54</v>
      </c>
      <c r="B15" s="22">
        <v>13</v>
      </c>
      <c r="C15" s="23">
        <v>20</v>
      </c>
      <c r="D15" s="23">
        <v>0</v>
      </c>
      <c r="E15" s="23">
        <v>1.0009999999999999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27B9-AACF-4953-BDC4-670C2443038D}">
  <dimension ref="A1:Q54"/>
  <sheetViews>
    <sheetView tabSelected="1" workbookViewId="0">
      <selection activeCell="V14" sqref="V14"/>
    </sheetView>
  </sheetViews>
  <sheetFormatPr defaultRowHeight="16.5" x14ac:dyDescent="0.25"/>
  <cols>
    <col min="1" max="1" width="3.5" customWidth="1"/>
    <col min="2" max="2" width="12.125" customWidth="1"/>
    <col min="8" max="8" width="12.125" customWidth="1"/>
    <col min="17" max="17" width="9" style="33"/>
  </cols>
  <sheetData>
    <row r="1" spans="1:17" x14ac:dyDescent="0.25">
      <c r="A1" s="43" t="s">
        <v>72</v>
      </c>
      <c r="B1" t="s">
        <v>73</v>
      </c>
      <c r="D1" s="28"/>
    </row>
    <row r="2" spans="1:17" x14ac:dyDescent="0.25">
      <c r="A2" s="43"/>
      <c r="B2" s="29" t="s">
        <v>62</v>
      </c>
      <c r="C2" s="29" t="s">
        <v>63</v>
      </c>
      <c r="D2" s="42" t="s">
        <v>64</v>
      </c>
      <c r="E2" s="42"/>
      <c r="F2" s="42"/>
      <c r="G2" s="42"/>
      <c r="H2" s="42"/>
      <c r="I2" s="42"/>
      <c r="J2" s="42"/>
      <c r="K2" s="42"/>
      <c r="L2" s="42"/>
      <c r="M2" s="29" t="s">
        <v>65</v>
      </c>
      <c r="N2" s="29" t="s">
        <v>66</v>
      </c>
      <c r="O2" s="29" t="s">
        <v>67</v>
      </c>
      <c r="Q2" s="34" t="s">
        <v>68</v>
      </c>
    </row>
    <row r="3" spans="1:17" x14ac:dyDescent="0.25">
      <c r="A3" s="43"/>
      <c r="B3" s="29">
        <v>115</v>
      </c>
      <c r="C3" s="29">
        <v>1500</v>
      </c>
      <c r="D3" s="28" t="s">
        <v>69</v>
      </c>
      <c r="E3">
        <v>116.05</v>
      </c>
      <c r="F3" t="str">
        <f t="shared" ref="F3:F10" si="0">"-("</f>
        <v>-(</v>
      </c>
      <c r="G3" s="31">
        <v>21.042000000000002</v>
      </c>
      <c r="H3" s="31" t="s">
        <v>70</v>
      </c>
      <c r="I3" s="31">
        <v>2162.1</v>
      </c>
      <c r="J3" s="31" t="str">
        <f t="shared" ref="J3:J10" si="1">")/"</f>
        <v>)/</v>
      </c>
      <c r="K3" s="31">
        <v>725.26</v>
      </c>
      <c r="L3" s="31" t="s">
        <v>71</v>
      </c>
      <c r="M3" s="32">
        <f t="shared" ref="M3:M10" si="2">E3-(G3/(1+EXP(-(Q3-I3)/K3)))</f>
        <v>115.03398038898598</v>
      </c>
      <c r="N3" s="29">
        <v>2050</v>
      </c>
      <c r="O3" s="29">
        <v>105</v>
      </c>
      <c r="Q3" s="33">
        <v>0</v>
      </c>
    </row>
    <row r="4" spans="1:17" x14ac:dyDescent="0.25">
      <c r="A4" s="43"/>
      <c r="B4" s="29">
        <v>115</v>
      </c>
      <c r="C4" s="29">
        <v>2050</v>
      </c>
      <c r="D4" s="28" t="s">
        <v>69</v>
      </c>
      <c r="E4">
        <v>113.05</v>
      </c>
      <c r="F4" t="str">
        <f t="shared" si="0"/>
        <v>-(</v>
      </c>
      <c r="G4" s="31">
        <v>33.018999999999998</v>
      </c>
      <c r="H4" s="31" t="s">
        <v>70</v>
      </c>
      <c r="I4" s="31">
        <v>2581.3000000000002</v>
      </c>
      <c r="J4" s="31" t="str">
        <f t="shared" si="1"/>
        <v>)/</v>
      </c>
      <c r="K4" s="31">
        <v>467.67</v>
      </c>
      <c r="L4" s="31" t="s">
        <v>71</v>
      </c>
      <c r="M4" s="32">
        <f t="shared" si="2"/>
        <v>112.91819173704917</v>
      </c>
      <c r="N4" s="29">
        <v>2050</v>
      </c>
      <c r="O4" s="29">
        <v>105</v>
      </c>
      <c r="Q4" s="33">
        <v>0</v>
      </c>
    </row>
    <row r="5" spans="1:17" x14ac:dyDescent="0.25">
      <c r="A5" s="43"/>
      <c r="B5" s="29">
        <v>110</v>
      </c>
      <c r="C5" s="29">
        <v>1500</v>
      </c>
      <c r="D5" s="28" t="s">
        <v>69</v>
      </c>
      <c r="E5">
        <v>110.78</v>
      </c>
      <c r="F5" t="str">
        <f t="shared" si="0"/>
        <v>-(</v>
      </c>
      <c r="G5" s="31">
        <v>19.579000000000001</v>
      </c>
      <c r="H5" s="31" t="s">
        <v>70</v>
      </c>
      <c r="I5" s="31">
        <v>2070.1999999999998</v>
      </c>
      <c r="J5" s="31" t="str">
        <f t="shared" si="1"/>
        <v>)/</v>
      </c>
      <c r="K5" s="31">
        <v>645.99</v>
      </c>
      <c r="L5" s="31" t="s">
        <v>71</v>
      </c>
      <c r="M5" s="32">
        <f t="shared" si="2"/>
        <v>110.0166250308105</v>
      </c>
      <c r="N5" s="29">
        <v>2000</v>
      </c>
      <c r="O5" s="29">
        <v>100</v>
      </c>
      <c r="Q5" s="33">
        <v>0</v>
      </c>
    </row>
    <row r="6" spans="1:17" x14ac:dyDescent="0.25">
      <c r="A6" s="43"/>
      <c r="B6" s="29">
        <v>110</v>
      </c>
      <c r="C6" s="29">
        <v>2000</v>
      </c>
      <c r="D6" s="28" t="s">
        <v>69</v>
      </c>
      <c r="E6">
        <v>107.92</v>
      </c>
      <c r="F6" t="str">
        <f t="shared" si="0"/>
        <v>-(</v>
      </c>
      <c r="G6" s="31">
        <v>38.228999999999999</v>
      </c>
      <c r="H6" s="31" t="s">
        <v>70</v>
      </c>
      <c r="I6" s="31">
        <v>2577.8000000000002</v>
      </c>
      <c r="J6" s="31" t="str">
        <f t="shared" si="1"/>
        <v>)/</v>
      </c>
      <c r="K6" s="31">
        <v>427.41</v>
      </c>
      <c r="L6" s="31" t="s">
        <v>71</v>
      </c>
      <c r="M6" s="32">
        <f t="shared" si="2"/>
        <v>107.8283718334753</v>
      </c>
      <c r="N6" s="29">
        <v>2000</v>
      </c>
      <c r="O6" s="29">
        <v>100</v>
      </c>
      <c r="Q6" s="33">
        <v>0</v>
      </c>
    </row>
    <row r="7" spans="1:17" x14ac:dyDescent="0.25">
      <c r="A7" s="43"/>
      <c r="B7" s="29">
        <v>105</v>
      </c>
      <c r="C7" s="29">
        <v>1500</v>
      </c>
      <c r="D7" s="28" t="s">
        <v>69</v>
      </c>
      <c r="E7">
        <v>105.6</v>
      </c>
      <c r="F7" t="str">
        <f t="shared" si="0"/>
        <v>-(</v>
      </c>
      <c r="G7" s="31">
        <v>14.781000000000001</v>
      </c>
      <c r="H7" s="31" t="s">
        <v>70</v>
      </c>
      <c r="I7" s="31">
        <v>1743.2</v>
      </c>
      <c r="J7" s="31" t="str">
        <f t="shared" si="1"/>
        <v>)/</v>
      </c>
      <c r="K7" s="31">
        <v>537.84</v>
      </c>
      <c r="L7" s="31" t="s">
        <v>71</v>
      </c>
      <c r="M7" s="32">
        <f t="shared" si="2"/>
        <v>105.04353141453319</v>
      </c>
      <c r="N7" s="29">
        <v>1950</v>
      </c>
      <c r="O7" s="29">
        <v>95</v>
      </c>
      <c r="Q7" s="33">
        <v>0</v>
      </c>
    </row>
    <row r="8" spans="1:17" x14ac:dyDescent="0.25">
      <c r="A8" s="43"/>
      <c r="B8" s="29">
        <v>105</v>
      </c>
      <c r="C8" s="29">
        <v>1950</v>
      </c>
      <c r="D8" s="28" t="s">
        <v>69</v>
      </c>
      <c r="E8">
        <v>100.79</v>
      </c>
      <c r="F8" t="str">
        <f t="shared" si="0"/>
        <v>-(</v>
      </c>
      <c r="G8" s="31">
        <v>18.472999999999999</v>
      </c>
      <c r="H8" s="31" t="s">
        <v>70</v>
      </c>
      <c r="I8" s="31">
        <v>2124.5</v>
      </c>
      <c r="J8" s="31" t="str">
        <f t="shared" si="1"/>
        <v>)/</v>
      </c>
      <c r="K8" s="31">
        <v>221.04</v>
      </c>
      <c r="L8" s="31" t="s">
        <v>71</v>
      </c>
      <c r="M8" s="32">
        <f t="shared" si="2"/>
        <v>100.78876309044983</v>
      </c>
      <c r="N8" s="29">
        <v>1950</v>
      </c>
      <c r="O8" s="29">
        <v>95</v>
      </c>
      <c r="Q8" s="33">
        <v>0</v>
      </c>
    </row>
    <row r="9" spans="1:17" x14ac:dyDescent="0.25">
      <c r="A9" s="43"/>
      <c r="B9" s="29">
        <v>100</v>
      </c>
      <c r="C9" s="29">
        <v>1500</v>
      </c>
      <c r="D9" s="28" t="s">
        <v>69</v>
      </c>
      <c r="E9">
        <v>100.6</v>
      </c>
      <c r="F9" t="str">
        <f t="shared" si="0"/>
        <v>-(</v>
      </c>
      <c r="G9" s="31">
        <v>17.791</v>
      </c>
      <c r="H9" s="31" t="s">
        <v>70</v>
      </c>
      <c r="I9" s="31">
        <v>1974.8</v>
      </c>
      <c r="J9" s="31" t="str">
        <f t="shared" si="1"/>
        <v>)/</v>
      </c>
      <c r="K9" s="31">
        <v>577.44000000000005</v>
      </c>
      <c r="L9" s="31" t="s">
        <v>71</v>
      </c>
      <c r="M9" s="32">
        <f t="shared" si="2"/>
        <v>100.03640588183492</v>
      </c>
      <c r="N9" s="29">
        <v>1900</v>
      </c>
      <c r="O9" s="29">
        <v>90</v>
      </c>
      <c r="Q9" s="33">
        <v>0</v>
      </c>
    </row>
    <row r="10" spans="1:17" x14ac:dyDescent="0.25">
      <c r="A10" s="43"/>
      <c r="B10" s="29">
        <v>100</v>
      </c>
      <c r="C10" s="29">
        <v>1900</v>
      </c>
      <c r="D10" s="28" t="s">
        <v>69</v>
      </c>
      <c r="E10">
        <v>95.76</v>
      </c>
      <c r="F10" t="str">
        <f t="shared" si="0"/>
        <v>-(</v>
      </c>
      <c r="G10" s="31">
        <v>28.001000000000001</v>
      </c>
      <c r="H10" s="31" t="s">
        <v>70</v>
      </c>
      <c r="I10" s="31">
        <v>2136.8000000000002</v>
      </c>
      <c r="J10" s="31" t="str">
        <f t="shared" si="1"/>
        <v>)/</v>
      </c>
      <c r="K10" s="31">
        <v>173.44</v>
      </c>
      <c r="L10" s="31" t="s">
        <v>71</v>
      </c>
      <c r="M10" s="32">
        <f t="shared" si="2"/>
        <v>95.759875084735981</v>
      </c>
      <c r="N10" s="29">
        <v>1900</v>
      </c>
      <c r="O10" s="29">
        <v>90</v>
      </c>
      <c r="Q10" s="33">
        <v>0</v>
      </c>
    </row>
    <row r="11" spans="1:17" x14ac:dyDescent="0.25">
      <c r="A11" s="43"/>
    </row>
    <row r="12" spans="1:17" x14ac:dyDescent="0.25">
      <c r="A12" s="43"/>
      <c r="B12" t="s">
        <v>74</v>
      </c>
      <c r="D12" s="28"/>
    </row>
    <row r="13" spans="1:17" x14ac:dyDescent="0.25">
      <c r="A13" s="43"/>
      <c r="B13" s="29" t="s">
        <v>62</v>
      </c>
      <c r="C13" s="29" t="s">
        <v>63</v>
      </c>
      <c r="D13" s="42" t="s">
        <v>64</v>
      </c>
      <c r="E13" s="42"/>
      <c r="F13" s="42"/>
      <c r="G13" s="42"/>
      <c r="H13" s="42"/>
      <c r="I13" s="42"/>
      <c r="J13" s="42"/>
      <c r="K13" s="42"/>
      <c r="L13" s="42"/>
      <c r="M13" s="29" t="s">
        <v>65</v>
      </c>
      <c r="N13" s="29" t="s">
        <v>66</v>
      </c>
      <c r="O13" s="29" t="s">
        <v>67</v>
      </c>
      <c r="Q13" s="34" t="s">
        <v>68</v>
      </c>
    </row>
    <row r="14" spans="1:17" x14ac:dyDescent="0.25">
      <c r="A14" s="43"/>
      <c r="B14" s="29">
        <v>115</v>
      </c>
      <c r="C14" s="29">
        <v>1500</v>
      </c>
      <c r="D14" s="28" t="s">
        <v>69</v>
      </c>
      <c r="E14">
        <v>115.48</v>
      </c>
      <c r="F14" t="str">
        <f t="shared" ref="F14:F21" si="3">"-("</f>
        <v>-(</v>
      </c>
      <c r="G14" s="31">
        <v>23.03</v>
      </c>
      <c r="H14" s="31" t="s">
        <v>70</v>
      </c>
      <c r="I14" s="31">
        <v>2221.6</v>
      </c>
      <c r="J14" s="31" t="str">
        <f t="shared" ref="J14:J21" si="4">")/"</f>
        <v>)/</v>
      </c>
      <c r="K14" s="31">
        <v>575</v>
      </c>
      <c r="L14" s="31" t="s">
        <v>71</v>
      </c>
      <c r="M14" s="32">
        <f t="shared" ref="M14:M21" si="5">E14-(G14/(1+EXP(-(Q14-I14)/K14)))</f>
        <v>115.00651184199899</v>
      </c>
      <c r="N14" s="29">
        <v>2000</v>
      </c>
      <c r="O14" s="29">
        <v>105</v>
      </c>
      <c r="Q14" s="33">
        <v>0</v>
      </c>
    </row>
    <row r="15" spans="1:17" x14ac:dyDescent="0.25">
      <c r="A15" s="43"/>
      <c r="B15" s="29">
        <v>115</v>
      </c>
      <c r="C15" s="29">
        <v>2000</v>
      </c>
      <c r="D15" s="28" t="s">
        <v>69</v>
      </c>
      <c r="E15">
        <v>112.25</v>
      </c>
      <c r="F15" t="str">
        <f t="shared" si="3"/>
        <v>-(</v>
      </c>
      <c r="G15" s="31">
        <v>58.238999999999997</v>
      </c>
      <c r="H15" s="31" t="s">
        <v>70</v>
      </c>
      <c r="I15" s="31">
        <v>2687.6</v>
      </c>
      <c r="J15" s="31" t="str">
        <f t="shared" si="4"/>
        <v>)/</v>
      </c>
      <c r="K15" s="31">
        <v>349.41</v>
      </c>
      <c r="L15" s="31" t="s">
        <v>71</v>
      </c>
      <c r="M15" s="32">
        <f t="shared" si="5"/>
        <v>112.22342341108623</v>
      </c>
      <c r="N15" s="29">
        <v>2000</v>
      </c>
      <c r="O15" s="29">
        <v>105</v>
      </c>
      <c r="Q15" s="33">
        <v>0</v>
      </c>
    </row>
    <row r="16" spans="1:17" x14ac:dyDescent="0.25">
      <c r="A16" s="43"/>
      <c r="B16" s="29">
        <v>110</v>
      </c>
      <c r="C16" s="29">
        <v>1500</v>
      </c>
      <c r="D16" s="28" t="s">
        <v>69</v>
      </c>
      <c r="E16">
        <v>110.52</v>
      </c>
      <c r="F16" t="str">
        <f t="shared" si="3"/>
        <v>-(</v>
      </c>
      <c r="G16" s="31">
        <v>37.061999999999998</v>
      </c>
      <c r="H16" s="31" t="s">
        <v>70</v>
      </c>
      <c r="I16" s="31">
        <v>2588.3000000000002</v>
      </c>
      <c r="J16" s="31" t="str">
        <f t="shared" si="4"/>
        <v>)/</v>
      </c>
      <c r="K16" s="31">
        <v>613.77</v>
      </c>
      <c r="L16" s="31" t="s">
        <v>71</v>
      </c>
      <c r="M16" s="32">
        <f t="shared" si="5"/>
        <v>109.98156809140308</v>
      </c>
      <c r="N16" s="29">
        <v>1950</v>
      </c>
      <c r="O16" s="29">
        <v>100</v>
      </c>
      <c r="Q16" s="33">
        <v>0</v>
      </c>
    </row>
    <row r="17" spans="1:17" x14ac:dyDescent="0.25">
      <c r="A17" s="43"/>
      <c r="B17" s="29">
        <v>110</v>
      </c>
      <c r="C17" s="29">
        <v>1950</v>
      </c>
      <c r="D17" s="28" t="s">
        <v>69</v>
      </c>
      <c r="E17">
        <v>106.54</v>
      </c>
      <c r="F17" t="str">
        <f t="shared" si="3"/>
        <v>-(</v>
      </c>
      <c r="G17" s="31">
        <v>21.263000000000002</v>
      </c>
      <c r="H17" s="31" t="s">
        <v>70</v>
      </c>
      <c r="I17" s="31">
        <v>2161.6999999999998</v>
      </c>
      <c r="J17" s="31" t="str">
        <f t="shared" si="4"/>
        <v>)/</v>
      </c>
      <c r="K17" s="31">
        <v>256.29000000000002</v>
      </c>
      <c r="L17" s="31" t="s">
        <v>71</v>
      </c>
      <c r="M17" s="32">
        <f t="shared" si="5"/>
        <v>106.53538218923781</v>
      </c>
      <c r="N17" s="29">
        <v>1950</v>
      </c>
      <c r="O17" s="29">
        <v>100</v>
      </c>
      <c r="Q17" s="33">
        <v>0</v>
      </c>
    </row>
    <row r="18" spans="1:17" x14ac:dyDescent="0.25">
      <c r="A18" s="43"/>
      <c r="B18" s="29">
        <v>105</v>
      </c>
      <c r="C18" s="29">
        <v>1500</v>
      </c>
      <c r="D18" s="28" t="s">
        <v>69</v>
      </c>
      <c r="E18">
        <v>105.41</v>
      </c>
      <c r="F18" t="str">
        <f t="shared" si="3"/>
        <v>-(</v>
      </c>
      <c r="G18" s="31">
        <v>23.378</v>
      </c>
      <c r="H18" s="31" t="s">
        <v>70</v>
      </c>
      <c r="I18" s="31">
        <v>2078.5</v>
      </c>
      <c r="J18" s="31" t="str">
        <f t="shared" si="4"/>
        <v>)/</v>
      </c>
      <c r="K18" s="31">
        <v>518.01</v>
      </c>
      <c r="L18" s="31" t="s">
        <v>71</v>
      </c>
      <c r="M18" s="32">
        <f t="shared" si="5"/>
        <v>104.99463697660906</v>
      </c>
      <c r="N18" s="29">
        <v>1900</v>
      </c>
      <c r="O18" s="29">
        <v>95</v>
      </c>
      <c r="Q18" s="33">
        <v>0</v>
      </c>
    </row>
    <row r="19" spans="1:17" x14ac:dyDescent="0.25">
      <c r="A19" s="43"/>
      <c r="B19" s="29">
        <v>105</v>
      </c>
      <c r="C19" s="29">
        <v>1900</v>
      </c>
      <c r="D19" s="28" t="s">
        <v>69</v>
      </c>
      <c r="E19">
        <v>102.12</v>
      </c>
      <c r="F19" t="str">
        <f t="shared" si="3"/>
        <v>-(</v>
      </c>
      <c r="G19" s="31">
        <v>34.835000000000001</v>
      </c>
      <c r="H19" s="31" t="s">
        <v>70</v>
      </c>
      <c r="I19" s="31">
        <v>2351.1</v>
      </c>
      <c r="J19" s="31" t="str">
        <f t="shared" si="4"/>
        <v>)/</v>
      </c>
      <c r="K19" s="31">
        <v>330.58</v>
      </c>
      <c r="L19" s="31" t="s">
        <v>71</v>
      </c>
      <c r="M19" s="32">
        <f t="shared" si="5"/>
        <v>102.09162474342531</v>
      </c>
      <c r="N19" s="29">
        <v>1900</v>
      </c>
      <c r="O19" s="29">
        <v>95</v>
      </c>
      <c r="Q19" s="33">
        <v>0</v>
      </c>
    </row>
    <row r="20" spans="1:17" x14ac:dyDescent="0.25">
      <c r="A20" s="43"/>
      <c r="B20" s="29">
        <v>100</v>
      </c>
      <c r="C20" s="29">
        <v>1500</v>
      </c>
      <c r="D20" s="28" t="s">
        <v>69</v>
      </c>
      <c r="E20">
        <v>100.4</v>
      </c>
      <c r="F20" t="str">
        <f t="shared" si="3"/>
        <v>-(</v>
      </c>
      <c r="G20" s="31">
        <v>16.815999999999999</v>
      </c>
      <c r="H20" s="31" t="s">
        <v>70</v>
      </c>
      <c r="I20" s="31">
        <v>1855</v>
      </c>
      <c r="J20" s="31" t="str">
        <f t="shared" si="4"/>
        <v>)/</v>
      </c>
      <c r="K20" s="31">
        <v>499.06</v>
      </c>
      <c r="L20" s="31" t="s">
        <v>71</v>
      </c>
      <c r="M20" s="32">
        <f t="shared" si="5"/>
        <v>100.00095196464054</v>
      </c>
      <c r="N20" s="29">
        <v>1850</v>
      </c>
      <c r="O20" s="29">
        <v>90</v>
      </c>
      <c r="Q20" s="33">
        <v>0</v>
      </c>
    </row>
    <row r="21" spans="1:17" x14ac:dyDescent="0.25">
      <c r="A21" s="43"/>
      <c r="B21" s="29">
        <v>100</v>
      </c>
      <c r="C21" s="29">
        <v>1850</v>
      </c>
      <c r="D21" s="28" t="s">
        <v>69</v>
      </c>
      <c r="E21">
        <v>96.45</v>
      </c>
      <c r="F21" t="str">
        <f t="shared" si="3"/>
        <v>-(</v>
      </c>
      <c r="G21" s="31">
        <v>41.506</v>
      </c>
      <c r="H21" s="31" t="s">
        <v>70</v>
      </c>
      <c r="I21" s="31">
        <v>2236.6</v>
      </c>
      <c r="J21" s="31" t="str">
        <f t="shared" si="4"/>
        <v>)/</v>
      </c>
      <c r="K21" s="31">
        <v>227.55</v>
      </c>
      <c r="L21" s="31" t="s">
        <v>71</v>
      </c>
      <c r="M21" s="32">
        <f t="shared" si="5"/>
        <v>96.447764442023569</v>
      </c>
      <c r="N21" s="29">
        <v>1850</v>
      </c>
      <c r="O21" s="29">
        <v>90</v>
      </c>
      <c r="Q21" s="33">
        <v>0</v>
      </c>
    </row>
    <row r="22" spans="1:17" x14ac:dyDescent="0.25">
      <c r="A22" s="43"/>
    </row>
    <row r="23" spans="1:17" x14ac:dyDescent="0.25">
      <c r="A23" s="43"/>
      <c r="B23" t="s">
        <v>75</v>
      </c>
      <c r="D23" s="28"/>
    </row>
    <row r="24" spans="1:17" x14ac:dyDescent="0.25">
      <c r="A24" s="43"/>
      <c r="B24" s="29" t="s">
        <v>62</v>
      </c>
      <c r="C24" s="29" t="s">
        <v>63</v>
      </c>
      <c r="D24" s="42" t="s">
        <v>64</v>
      </c>
      <c r="E24" s="42"/>
      <c r="F24" s="42"/>
      <c r="G24" s="42"/>
      <c r="H24" s="42"/>
      <c r="I24" s="42"/>
      <c r="J24" s="42"/>
      <c r="K24" s="42"/>
      <c r="L24" s="42"/>
      <c r="M24" s="29" t="s">
        <v>65</v>
      </c>
      <c r="N24" s="29" t="s">
        <v>66</v>
      </c>
      <c r="O24" s="29" t="s">
        <v>67</v>
      </c>
      <c r="Q24" s="34" t="s">
        <v>68</v>
      </c>
    </row>
    <row r="25" spans="1:17" x14ac:dyDescent="0.25">
      <c r="A25" s="43"/>
      <c r="B25" s="29">
        <v>115</v>
      </c>
      <c r="C25" s="29">
        <v>1500</v>
      </c>
      <c r="D25" s="28" t="s">
        <v>69</v>
      </c>
      <c r="E25">
        <v>115.28</v>
      </c>
      <c r="F25" t="str">
        <f t="shared" ref="F25:F32" si="6">"-("</f>
        <v>-(</v>
      </c>
      <c r="G25" s="31">
        <v>13.69</v>
      </c>
      <c r="H25" s="31" t="s">
        <v>70</v>
      </c>
      <c r="I25" s="31">
        <v>1679.7</v>
      </c>
      <c r="J25" s="31" t="str">
        <f t="shared" ref="J25:J32" si="7">")/"</f>
        <v>)/</v>
      </c>
      <c r="K25" s="31">
        <v>422.87</v>
      </c>
      <c r="L25" s="31" t="s">
        <v>71</v>
      </c>
      <c r="M25" s="32">
        <f t="shared" ref="M25:M32" si="8">E25-(G25/(1+EXP(-(Q25-I25)/K25)))</f>
        <v>115.02694160058999</v>
      </c>
      <c r="N25" s="29">
        <v>1950</v>
      </c>
      <c r="O25" s="29">
        <v>105</v>
      </c>
    </row>
    <row r="26" spans="1:17" x14ac:dyDescent="0.25">
      <c r="A26" s="43"/>
      <c r="B26" s="29">
        <v>115</v>
      </c>
      <c r="C26" s="29">
        <v>1950</v>
      </c>
      <c r="D26" s="28" t="s">
        <v>69</v>
      </c>
      <c r="E26">
        <v>112.11</v>
      </c>
      <c r="F26" t="str">
        <f t="shared" si="6"/>
        <v>-(</v>
      </c>
      <c r="G26" s="31">
        <v>18.103999999999999</v>
      </c>
      <c r="H26" s="31" t="s">
        <v>70</v>
      </c>
      <c r="I26" s="31">
        <v>2078</v>
      </c>
      <c r="J26" s="31" t="str">
        <f t="shared" si="7"/>
        <v>)/</v>
      </c>
      <c r="K26" s="31">
        <v>288.36</v>
      </c>
      <c r="L26" s="31" t="s">
        <v>71</v>
      </c>
      <c r="M26" s="32">
        <f t="shared" si="8"/>
        <v>112.09657824896362</v>
      </c>
      <c r="N26" s="29">
        <v>1950</v>
      </c>
      <c r="O26" s="29">
        <v>105</v>
      </c>
      <c r="Q26" s="33">
        <v>0</v>
      </c>
    </row>
    <row r="27" spans="1:17" x14ac:dyDescent="0.25">
      <c r="A27" s="43"/>
      <c r="B27" s="29">
        <v>110</v>
      </c>
      <c r="C27" s="29">
        <v>1500</v>
      </c>
      <c r="D27" s="28" t="s">
        <v>69</v>
      </c>
      <c r="E27">
        <v>110.29</v>
      </c>
      <c r="F27" t="str">
        <f t="shared" si="6"/>
        <v>-(</v>
      </c>
      <c r="G27" s="31">
        <v>12.157999999999999</v>
      </c>
      <c r="H27" s="31" t="s">
        <v>70</v>
      </c>
      <c r="I27" s="31">
        <v>1562.8</v>
      </c>
      <c r="J27" s="31" t="str">
        <f t="shared" si="7"/>
        <v>)/</v>
      </c>
      <c r="K27" s="31">
        <v>413.03</v>
      </c>
      <c r="L27" s="31" t="s">
        <v>71</v>
      </c>
      <c r="M27" s="32">
        <f t="shared" si="8"/>
        <v>110.01970461034344</v>
      </c>
      <c r="N27" s="29">
        <v>1900</v>
      </c>
      <c r="O27" s="29">
        <v>100</v>
      </c>
      <c r="Q27" s="33">
        <v>0</v>
      </c>
    </row>
    <row r="28" spans="1:17" x14ac:dyDescent="0.25">
      <c r="A28" s="43"/>
      <c r="B28" s="29">
        <v>110</v>
      </c>
      <c r="C28" s="29">
        <v>1900</v>
      </c>
      <c r="D28" s="28" t="s">
        <v>69</v>
      </c>
      <c r="E28">
        <v>108.92</v>
      </c>
      <c r="F28" t="str">
        <f t="shared" si="6"/>
        <v>-(</v>
      </c>
      <c r="G28" s="31">
        <v>39.216999999999999</v>
      </c>
      <c r="H28" s="31" t="s">
        <v>70</v>
      </c>
      <c r="I28" s="31">
        <v>2464.3000000000002</v>
      </c>
      <c r="J28" s="31" t="str">
        <f t="shared" si="7"/>
        <v>)/</v>
      </c>
      <c r="K28" s="31">
        <v>458.29</v>
      </c>
      <c r="L28" s="31" t="s">
        <v>71</v>
      </c>
      <c r="M28" s="32">
        <f t="shared" si="8"/>
        <v>108.73961518971005</v>
      </c>
      <c r="N28" s="29">
        <v>1900</v>
      </c>
      <c r="O28" s="29">
        <v>100</v>
      </c>
      <c r="Q28" s="33">
        <v>0</v>
      </c>
    </row>
    <row r="29" spans="1:17" x14ac:dyDescent="0.25">
      <c r="A29" s="43"/>
      <c r="B29" s="29">
        <v>105</v>
      </c>
      <c r="C29" s="29">
        <v>1500</v>
      </c>
      <c r="D29" s="28" t="s">
        <v>69</v>
      </c>
      <c r="E29">
        <v>105.34</v>
      </c>
      <c r="F29" t="str">
        <f t="shared" si="6"/>
        <v>-(</v>
      </c>
      <c r="G29" s="31">
        <v>13.281000000000001</v>
      </c>
      <c r="H29" s="31" t="s">
        <v>70</v>
      </c>
      <c r="I29" s="31">
        <v>1595.4</v>
      </c>
      <c r="J29" s="31" t="str">
        <f t="shared" si="7"/>
        <v>)/</v>
      </c>
      <c r="K29" s="31">
        <v>423.72</v>
      </c>
      <c r="L29" s="31" t="s">
        <v>71</v>
      </c>
      <c r="M29" s="32">
        <f t="shared" si="8"/>
        <v>105.0393432884282</v>
      </c>
      <c r="N29" s="29">
        <v>1850</v>
      </c>
      <c r="O29" s="29">
        <v>95</v>
      </c>
      <c r="Q29" s="33">
        <v>0</v>
      </c>
    </row>
    <row r="30" spans="1:17" x14ac:dyDescent="0.25">
      <c r="A30" s="43"/>
      <c r="B30" s="29">
        <v>105</v>
      </c>
      <c r="C30" s="29">
        <v>1850</v>
      </c>
      <c r="D30" s="28" t="s">
        <v>69</v>
      </c>
      <c r="E30">
        <v>101.03</v>
      </c>
      <c r="F30" t="str">
        <f t="shared" si="6"/>
        <v>-(</v>
      </c>
      <c r="G30" s="31">
        <v>12.298</v>
      </c>
      <c r="H30" s="31" t="s">
        <v>70</v>
      </c>
      <c r="I30" s="31">
        <v>1858.1</v>
      </c>
      <c r="J30" s="31" t="str">
        <f t="shared" si="7"/>
        <v>)/</v>
      </c>
      <c r="K30" s="31">
        <v>184.22</v>
      </c>
      <c r="L30" s="31" t="s">
        <v>71</v>
      </c>
      <c r="M30" s="32">
        <f t="shared" si="8"/>
        <v>101.02948786118382</v>
      </c>
      <c r="N30" s="29">
        <v>1850</v>
      </c>
      <c r="O30" s="29">
        <v>95</v>
      </c>
      <c r="Q30" s="33">
        <v>0</v>
      </c>
    </row>
    <row r="31" spans="1:17" x14ac:dyDescent="0.25">
      <c r="A31" s="43"/>
      <c r="B31" s="29">
        <v>100</v>
      </c>
      <c r="C31" s="29">
        <v>1500</v>
      </c>
      <c r="D31" s="28" t="s">
        <v>69</v>
      </c>
      <c r="E31">
        <v>100.34</v>
      </c>
      <c r="F31" t="str">
        <f t="shared" si="6"/>
        <v>-(</v>
      </c>
      <c r="G31" s="31">
        <v>14.082000000000001</v>
      </c>
      <c r="H31" s="31" t="s">
        <v>70</v>
      </c>
      <c r="I31" s="31">
        <v>1697.6</v>
      </c>
      <c r="J31" s="31" t="str">
        <f t="shared" si="7"/>
        <v>)/</v>
      </c>
      <c r="K31" s="31">
        <v>450.87</v>
      </c>
      <c r="L31" s="31" t="s">
        <v>71</v>
      </c>
      <c r="M31" s="32">
        <f t="shared" si="8"/>
        <v>100.02119234417552</v>
      </c>
      <c r="N31" s="29">
        <v>1800</v>
      </c>
      <c r="O31" s="29">
        <v>90</v>
      </c>
      <c r="Q31" s="33">
        <v>0</v>
      </c>
    </row>
    <row r="32" spans="1:17" x14ac:dyDescent="0.25">
      <c r="A32" s="43"/>
      <c r="B32" s="29">
        <v>100</v>
      </c>
      <c r="C32" s="29">
        <v>1800</v>
      </c>
      <c r="D32" s="28" t="s">
        <v>69</v>
      </c>
      <c r="E32">
        <v>95.57</v>
      </c>
      <c r="F32" t="str">
        <f t="shared" si="6"/>
        <v>-(</v>
      </c>
      <c r="G32" s="31">
        <v>20.163</v>
      </c>
      <c r="H32" s="31" t="s">
        <v>70</v>
      </c>
      <c r="I32" s="31">
        <v>1927.7</v>
      </c>
      <c r="J32" s="31" t="str">
        <f t="shared" si="7"/>
        <v>)/</v>
      </c>
      <c r="K32" s="31">
        <v>131.33000000000001</v>
      </c>
      <c r="L32" s="31" t="s">
        <v>71</v>
      </c>
      <c r="M32" s="32">
        <f t="shared" si="8"/>
        <v>95.569991491479684</v>
      </c>
      <c r="N32" s="29">
        <v>1800</v>
      </c>
      <c r="O32" s="29">
        <v>90</v>
      </c>
      <c r="Q32" s="33">
        <v>0</v>
      </c>
    </row>
    <row r="33" spans="1:17" x14ac:dyDescent="0.25">
      <c r="A33" s="43"/>
    </row>
    <row r="34" spans="1:17" x14ac:dyDescent="0.25">
      <c r="A34" s="43"/>
      <c r="B34" t="s">
        <v>76</v>
      </c>
      <c r="D34" s="28"/>
    </row>
    <row r="35" spans="1:17" x14ac:dyDescent="0.25">
      <c r="A35" s="43"/>
      <c r="B35" s="29" t="s">
        <v>62</v>
      </c>
      <c r="C35" s="29" t="s">
        <v>63</v>
      </c>
      <c r="D35" s="42" t="s">
        <v>64</v>
      </c>
      <c r="E35" s="42"/>
      <c r="F35" s="42"/>
      <c r="G35" s="42"/>
      <c r="H35" s="42"/>
      <c r="I35" s="42"/>
      <c r="J35" s="42"/>
      <c r="K35" s="42"/>
      <c r="L35" s="42"/>
      <c r="M35" s="29" t="s">
        <v>65</v>
      </c>
      <c r="N35" s="29" t="s">
        <v>66</v>
      </c>
      <c r="O35" s="29" t="s">
        <v>67</v>
      </c>
      <c r="Q35" s="34" t="s">
        <v>68</v>
      </c>
    </row>
    <row r="36" spans="1:17" x14ac:dyDescent="0.25">
      <c r="A36" s="43"/>
      <c r="B36" s="29">
        <v>115</v>
      </c>
      <c r="C36" s="29">
        <v>1500</v>
      </c>
      <c r="D36" s="28" t="s">
        <v>69</v>
      </c>
      <c r="E36">
        <v>117.17</v>
      </c>
      <c r="F36" t="str">
        <f t="shared" ref="F36:F43" si="9">"-("</f>
        <v>-(</v>
      </c>
      <c r="G36" s="31">
        <v>37.722000000000001</v>
      </c>
      <c r="H36" s="31" t="s">
        <v>70</v>
      </c>
      <c r="I36" s="31">
        <v>2105.1999999999998</v>
      </c>
      <c r="J36" s="31" t="str">
        <f t="shared" ref="J36:J43" si="10">")/"</f>
        <v>)/</v>
      </c>
      <c r="K36" s="31">
        <v>751.37</v>
      </c>
      <c r="L36" s="31" t="s">
        <v>71</v>
      </c>
      <c r="M36" s="32">
        <f t="shared" ref="M36:M43" si="11">E36-(G36/(1+EXP(-(Q36-I36)/K36)))</f>
        <v>115.01131492187329</v>
      </c>
      <c r="N36" s="29">
        <v>1730</v>
      </c>
      <c r="O36" s="29">
        <v>100</v>
      </c>
      <c r="Q36" s="33">
        <v>0</v>
      </c>
    </row>
    <row r="37" spans="1:17" x14ac:dyDescent="0.25">
      <c r="A37" s="43"/>
      <c r="B37" s="29">
        <v>115</v>
      </c>
      <c r="C37" s="29">
        <v>1730</v>
      </c>
      <c r="D37" s="28" t="s">
        <v>69</v>
      </c>
      <c r="E37">
        <v>110.01</v>
      </c>
      <c r="F37" t="str">
        <f t="shared" si="9"/>
        <v>-(</v>
      </c>
      <c r="G37" s="31">
        <v>23.71</v>
      </c>
      <c r="H37" s="31" t="s">
        <v>70</v>
      </c>
      <c r="I37" s="31">
        <v>1947.9</v>
      </c>
      <c r="J37" s="31" t="str">
        <f t="shared" si="10"/>
        <v>)/</v>
      </c>
      <c r="K37" s="31">
        <v>309.48</v>
      </c>
      <c r="L37" s="31" t="s">
        <v>71</v>
      </c>
      <c r="M37" s="32">
        <f t="shared" si="11"/>
        <v>109.96628459833904</v>
      </c>
      <c r="N37" s="29">
        <v>1730</v>
      </c>
      <c r="O37" s="29">
        <v>100</v>
      </c>
      <c r="Q37" s="33">
        <v>0</v>
      </c>
    </row>
    <row r="38" spans="1:17" x14ac:dyDescent="0.25">
      <c r="A38" s="43"/>
      <c r="B38" s="29">
        <v>110</v>
      </c>
      <c r="C38" s="29">
        <v>1500</v>
      </c>
      <c r="D38" s="28" t="s">
        <v>69</v>
      </c>
      <c r="E38">
        <v>111.62</v>
      </c>
      <c r="F38" t="str">
        <f t="shared" si="9"/>
        <v>-(</v>
      </c>
      <c r="G38" s="31">
        <v>31.37</v>
      </c>
      <c r="H38" s="31" t="s">
        <v>70</v>
      </c>
      <c r="I38" s="31">
        <v>1839.4</v>
      </c>
      <c r="J38" s="31" t="str">
        <f t="shared" si="10"/>
        <v>)/</v>
      </c>
      <c r="K38" s="31">
        <v>634.26</v>
      </c>
      <c r="L38" s="31" t="s">
        <v>71</v>
      </c>
      <c r="M38" s="32">
        <f t="shared" si="11"/>
        <v>109.98405519006468</v>
      </c>
      <c r="N38" s="29">
        <v>1700</v>
      </c>
      <c r="O38" s="29">
        <v>95</v>
      </c>
      <c r="Q38" s="33">
        <v>0</v>
      </c>
    </row>
    <row r="39" spans="1:17" x14ac:dyDescent="0.25">
      <c r="A39" s="43"/>
      <c r="B39" s="29">
        <v>110</v>
      </c>
      <c r="C39" s="29">
        <v>1700</v>
      </c>
      <c r="D39" s="28" t="s">
        <v>69</v>
      </c>
      <c r="E39">
        <v>104.32</v>
      </c>
      <c r="F39" t="str">
        <f t="shared" si="9"/>
        <v>-(</v>
      </c>
      <c r="G39" s="31">
        <v>18.463999999999999</v>
      </c>
      <c r="H39" s="31" t="s">
        <v>70</v>
      </c>
      <c r="I39" s="31">
        <v>1794.7</v>
      </c>
      <c r="J39" s="31" t="str">
        <f t="shared" si="10"/>
        <v>)/</v>
      </c>
      <c r="K39" s="31">
        <v>246.49</v>
      </c>
      <c r="L39" s="31" t="s">
        <v>71</v>
      </c>
      <c r="M39" s="32">
        <f t="shared" si="11"/>
        <v>104.30729666791832</v>
      </c>
      <c r="N39" s="29">
        <v>1700</v>
      </c>
      <c r="O39" s="29">
        <v>95</v>
      </c>
      <c r="Q39" s="33">
        <v>0</v>
      </c>
    </row>
    <row r="40" spans="1:17" x14ac:dyDescent="0.25">
      <c r="A40" s="43"/>
      <c r="B40" s="29">
        <v>105</v>
      </c>
      <c r="C40" s="29">
        <v>1500</v>
      </c>
      <c r="D40" s="28" t="s">
        <v>69</v>
      </c>
      <c r="E40">
        <v>106.73</v>
      </c>
      <c r="F40" t="str">
        <f t="shared" si="9"/>
        <v>-(</v>
      </c>
      <c r="G40" s="31">
        <v>30.713999999999999</v>
      </c>
      <c r="H40" s="31" t="s">
        <v>70</v>
      </c>
      <c r="I40" s="31">
        <v>1746.1</v>
      </c>
      <c r="J40" s="31" t="str">
        <f t="shared" si="10"/>
        <v>)/</v>
      </c>
      <c r="K40" s="31">
        <v>611.5</v>
      </c>
      <c r="L40" s="31" t="s">
        <v>71</v>
      </c>
      <c r="M40" s="32">
        <f t="shared" si="11"/>
        <v>105.0591298913602</v>
      </c>
      <c r="N40" s="29">
        <v>1670</v>
      </c>
      <c r="O40" s="29">
        <v>90</v>
      </c>
      <c r="Q40" s="33">
        <v>0</v>
      </c>
    </row>
    <row r="41" spans="1:17" x14ac:dyDescent="0.25">
      <c r="A41" s="43"/>
      <c r="B41" s="29">
        <v>105</v>
      </c>
      <c r="C41" s="29">
        <v>1670</v>
      </c>
      <c r="D41" s="28" t="s">
        <v>69</v>
      </c>
      <c r="E41">
        <v>99.65</v>
      </c>
      <c r="F41" t="str">
        <f t="shared" si="9"/>
        <v>-(</v>
      </c>
      <c r="G41" s="31">
        <v>33.186</v>
      </c>
      <c r="H41" s="31" t="s">
        <v>70</v>
      </c>
      <c r="I41" s="31">
        <v>2015.8</v>
      </c>
      <c r="J41" s="31" t="str">
        <f t="shared" si="10"/>
        <v>)/</v>
      </c>
      <c r="K41" s="31">
        <v>298.08</v>
      </c>
      <c r="L41" s="31" t="s">
        <v>71</v>
      </c>
      <c r="M41" s="32">
        <f t="shared" si="11"/>
        <v>99.611674564771889</v>
      </c>
      <c r="N41" s="29">
        <v>1670</v>
      </c>
      <c r="O41" s="29">
        <v>90</v>
      </c>
      <c r="Q41" s="33">
        <v>0</v>
      </c>
    </row>
    <row r="42" spans="1:17" x14ac:dyDescent="0.25">
      <c r="A42" s="43"/>
      <c r="B42" s="29">
        <v>100</v>
      </c>
      <c r="C42" s="29">
        <v>1500</v>
      </c>
      <c r="D42" s="28" t="s">
        <v>69</v>
      </c>
      <c r="E42">
        <v>101.32</v>
      </c>
      <c r="F42" t="str">
        <f t="shared" si="9"/>
        <v>-(</v>
      </c>
      <c r="G42" s="31">
        <v>32.720999999999997</v>
      </c>
      <c r="H42" s="31" t="s">
        <v>70</v>
      </c>
      <c r="I42" s="31">
        <v>1812.8</v>
      </c>
      <c r="J42" s="31" t="str">
        <f t="shared" si="10"/>
        <v>)/</v>
      </c>
      <c r="K42" s="31">
        <v>567.22</v>
      </c>
      <c r="L42" s="31" t="s">
        <v>71</v>
      </c>
      <c r="M42" s="32">
        <f t="shared" si="11"/>
        <v>100.03344737462386</v>
      </c>
      <c r="N42" s="29">
        <v>1630</v>
      </c>
      <c r="O42" s="29">
        <v>85</v>
      </c>
      <c r="Q42" s="33">
        <v>0</v>
      </c>
    </row>
    <row r="43" spans="1:17" x14ac:dyDescent="0.25">
      <c r="A43" s="43"/>
      <c r="B43" s="29">
        <v>100</v>
      </c>
      <c r="C43" s="29">
        <v>1630</v>
      </c>
      <c r="D43" s="28" t="s">
        <v>69</v>
      </c>
      <c r="E43">
        <v>92.897999999999996</v>
      </c>
      <c r="F43" t="str">
        <f t="shared" si="9"/>
        <v>-(</v>
      </c>
      <c r="G43" s="31">
        <v>18.885999999999999</v>
      </c>
      <c r="H43" s="31" t="s">
        <v>70</v>
      </c>
      <c r="I43" s="31">
        <v>1759.1</v>
      </c>
      <c r="J43" s="31" t="str">
        <f t="shared" si="10"/>
        <v>)/</v>
      </c>
      <c r="K43" s="31">
        <v>177.7</v>
      </c>
      <c r="L43" s="31" t="s">
        <v>71</v>
      </c>
      <c r="M43" s="32">
        <f t="shared" si="11"/>
        <v>92.897051755078664</v>
      </c>
      <c r="N43" s="29">
        <v>1630</v>
      </c>
      <c r="O43" s="29">
        <v>85</v>
      </c>
      <c r="Q43" s="33">
        <v>0</v>
      </c>
    </row>
    <row r="44" spans="1:17" x14ac:dyDescent="0.25">
      <c r="A44" s="43"/>
    </row>
    <row r="45" spans="1:17" x14ac:dyDescent="0.25">
      <c r="A45" s="43"/>
      <c r="B45" t="s">
        <v>77</v>
      </c>
      <c r="D45" s="28"/>
    </row>
    <row r="46" spans="1:17" x14ac:dyDescent="0.25">
      <c r="A46" s="43"/>
      <c r="B46" s="29" t="s">
        <v>62</v>
      </c>
      <c r="C46" s="29" t="s">
        <v>63</v>
      </c>
      <c r="D46" s="42" t="s">
        <v>64</v>
      </c>
      <c r="E46" s="42"/>
      <c r="F46" s="42"/>
      <c r="G46" s="42"/>
      <c r="H46" s="42"/>
      <c r="I46" s="42"/>
      <c r="J46" s="42"/>
      <c r="K46" s="42"/>
      <c r="L46" s="42"/>
      <c r="M46" s="29" t="s">
        <v>65</v>
      </c>
      <c r="N46" s="29" t="s">
        <v>66</v>
      </c>
      <c r="O46" s="29" t="s">
        <v>67</v>
      </c>
      <c r="Q46" s="34" t="s">
        <v>68</v>
      </c>
    </row>
    <row r="47" spans="1:17" x14ac:dyDescent="0.25">
      <c r="A47" s="43"/>
      <c r="B47" s="29">
        <v>115</v>
      </c>
      <c r="C47" s="29">
        <v>1200</v>
      </c>
      <c r="D47" s="28" t="s">
        <v>69</v>
      </c>
      <c r="E47">
        <v>115.95</v>
      </c>
      <c r="F47" t="str">
        <f t="shared" ref="F47:F54" si="12">"-("</f>
        <v>-(</v>
      </c>
      <c r="G47" s="31">
        <v>28.103999999999999</v>
      </c>
      <c r="H47" s="31" t="s">
        <v>70</v>
      </c>
      <c r="I47" s="31">
        <v>2056.3000000000002</v>
      </c>
      <c r="J47" s="31" t="str">
        <f t="shared" ref="J47:J54" si="13">")/"</f>
        <v>)/</v>
      </c>
      <c r="K47" s="31">
        <v>609.89</v>
      </c>
      <c r="L47" s="31" t="s">
        <v>71</v>
      </c>
      <c r="M47" s="32">
        <f t="shared" ref="M47:M54" si="14">E47-(G47/(1+EXP(-(Q47-I47)/K47)))</f>
        <v>115.01708234452326</v>
      </c>
      <c r="N47" s="29">
        <v>1760</v>
      </c>
      <c r="O47" s="29">
        <v>100</v>
      </c>
      <c r="Q47" s="33">
        <v>0</v>
      </c>
    </row>
    <row r="48" spans="1:17" x14ac:dyDescent="0.25">
      <c r="A48" s="43"/>
      <c r="B48" s="29">
        <v>115</v>
      </c>
      <c r="C48" s="29">
        <v>1760</v>
      </c>
      <c r="D48" s="28" t="s">
        <v>69</v>
      </c>
      <c r="E48">
        <v>111.11</v>
      </c>
      <c r="F48" t="str">
        <f t="shared" si="12"/>
        <v>-(</v>
      </c>
      <c r="G48" s="31">
        <v>20.670999999999999</v>
      </c>
      <c r="H48" s="31" t="s">
        <v>70</v>
      </c>
      <c r="I48" s="31">
        <v>1774.2</v>
      </c>
      <c r="J48" s="31" t="str">
        <f t="shared" si="13"/>
        <v>)/</v>
      </c>
      <c r="K48" s="31">
        <v>172.06</v>
      </c>
      <c r="L48" s="31" t="s">
        <v>71</v>
      </c>
      <c r="M48" s="32">
        <f t="shared" si="14"/>
        <v>111.10931275570557</v>
      </c>
      <c r="N48" s="29">
        <v>1760</v>
      </c>
      <c r="O48" s="29">
        <v>100</v>
      </c>
      <c r="Q48" s="33">
        <v>0</v>
      </c>
    </row>
    <row r="49" spans="1:17" x14ac:dyDescent="0.25">
      <c r="A49" s="43"/>
      <c r="B49" s="29">
        <v>110</v>
      </c>
      <c r="C49" s="29">
        <v>1200</v>
      </c>
      <c r="D49" s="28" t="s">
        <v>69</v>
      </c>
      <c r="E49">
        <v>110.48</v>
      </c>
      <c r="F49" t="str">
        <f t="shared" si="12"/>
        <v>-(</v>
      </c>
      <c r="G49" s="31">
        <v>18.225000000000001</v>
      </c>
      <c r="H49" s="31" t="s">
        <v>70</v>
      </c>
      <c r="I49" s="31">
        <v>1552.2</v>
      </c>
      <c r="J49" s="31" t="str">
        <f t="shared" si="13"/>
        <v>)/</v>
      </c>
      <c r="K49" s="31">
        <v>429.93</v>
      </c>
      <c r="L49" s="31" t="s">
        <v>71</v>
      </c>
      <c r="M49" s="32">
        <f t="shared" si="14"/>
        <v>110.00013187684324</v>
      </c>
      <c r="N49" s="29">
        <v>1725</v>
      </c>
      <c r="O49" s="29">
        <v>95</v>
      </c>
      <c r="Q49" s="33">
        <v>0</v>
      </c>
    </row>
    <row r="50" spans="1:17" x14ac:dyDescent="0.25">
      <c r="A50" s="43"/>
      <c r="B50" s="29">
        <v>110</v>
      </c>
      <c r="C50" s="29">
        <v>1725</v>
      </c>
      <c r="D50" s="28" t="s">
        <v>69</v>
      </c>
      <c r="E50">
        <v>106.75</v>
      </c>
      <c r="F50" t="str">
        <f t="shared" si="12"/>
        <v>-(</v>
      </c>
      <c r="G50" s="31">
        <v>41.405999999999999</v>
      </c>
      <c r="H50" s="31" t="s">
        <v>70</v>
      </c>
      <c r="I50" s="31">
        <v>1992.9</v>
      </c>
      <c r="J50" s="31" t="str">
        <f t="shared" si="13"/>
        <v>)/</v>
      </c>
      <c r="K50" s="31">
        <v>261.38</v>
      </c>
      <c r="L50" s="31" t="s">
        <v>71</v>
      </c>
      <c r="M50" s="32">
        <f t="shared" si="14"/>
        <v>106.72979032321831</v>
      </c>
      <c r="N50" s="29">
        <v>1725</v>
      </c>
      <c r="O50" s="29">
        <v>95</v>
      </c>
      <c r="Q50" s="33">
        <v>0</v>
      </c>
    </row>
    <row r="51" spans="1:17" x14ac:dyDescent="0.25">
      <c r="A51" s="43"/>
      <c r="B51" s="29">
        <v>105</v>
      </c>
      <c r="C51" s="29">
        <v>1200</v>
      </c>
      <c r="D51" s="28" t="s">
        <v>69</v>
      </c>
      <c r="E51">
        <v>105.34</v>
      </c>
      <c r="F51" t="str">
        <f t="shared" si="12"/>
        <v>-(</v>
      </c>
      <c r="G51" s="31">
        <v>21.742000000000001</v>
      </c>
      <c r="H51" s="31" t="s">
        <v>70</v>
      </c>
      <c r="I51" s="31">
        <v>1495.2</v>
      </c>
      <c r="J51" s="31" t="str">
        <f t="shared" si="13"/>
        <v>)/</v>
      </c>
      <c r="K51" s="31">
        <v>358.76</v>
      </c>
      <c r="L51" s="31" t="s">
        <v>71</v>
      </c>
      <c r="M51" s="32">
        <f t="shared" si="14"/>
        <v>105.00839544944658</v>
      </c>
      <c r="N51" s="29">
        <v>1690</v>
      </c>
      <c r="O51" s="29">
        <v>90</v>
      </c>
      <c r="Q51" s="33">
        <v>0</v>
      </c>
    </row>
    <row r="52" spans="1:17" x14ac:dyDescent="0.25">
      <c r="A52" s="43"/>
      <c r="B52" s="29">
        <v>105</v>
      </c>
      <c r="C52" s="29">
        <v>1690</v>
      </c>
      <c r="D52" s="28" t="s">
        <v>69</v>
      </c>
      <c r="E52">
        <v>102.47</v>
      </c>
      <c r="F52" t="str">
        <f t="shared" si="12"/>
        <v>-(</v>
      </c>
      <c r="G52" s="31">
        <v>49.643999999999998</v>
      </c>
      <c r="H52" s="31" t="s">
        <v>70</v>
      </c>
      <c r="I52" s="31">
        <v>2091.5</v>
      </c>
      <c r="J52" s="31" t="str">
        <f t="shared" si="13"/>
        <v>)/</v>
      </c>
      <c r="K52" s="31">
        <v>358.01</v>
      </c>
      <c r="L52" s="31" t="s">
        <v>71</v>
      </c>
      <c r="M52" s="32">
        <f t="shared" si="14"/>
        <v>102.32630134257919</v>
      </c>
      <c r="N52" s="29">
        <v>1690</v>
      </c>
      <c r="O52" s="29">
        <v>90</v>
      </c>
      <c r="Q52" s="33">
        <v>0</v>
      </c>
    </row>
    <row r="53" spans="1:17" x14ac:dyDescent="0.25">
      <c r="A53" s="43"/>
      <c r="B53" s="29">
        <v>100</v>
      </c>
      <c r="C53" s="29">
        <v>1200</v>
      </c>
      <c r="D53" s="28" t="s">
        <v>69</v>
      </c>
      <c r="E53">
        <v>100.26</v>
      </c>
      <c r="F53" t="str">
        <f t="shared" si="12"/>
        <v>-(</v>
      </c>
      <c r="G53" s="31">
        <v>23.419</v>
      </c>
      <c r="H53" s="31" t="s">
        <v>70</v>
      </c>
      <c r="I53" s="31">
        <v>1511.3</v>
      </c>
      <c r="J53" s="31" t="str">
        <f t="shared" si="13"/>
        <v>)/</v>
      </c>
      <c r="K53" s="31">
        <v>337.26</v>
      </c>
      <c r="L53" s="31" t="s">
        <v>71</v>
      </c>
      <c r="M53" s="32">
        <f t="shared" si="14"/>
        <v>99.997845707811379</v>
      </c>
      <c r="N53" s="29">
        <v>1650</v>
      </c>
      <c r="O53" s="29">
        <v>85</v>
      </c>
      <c r="Q53" s="33">
        <v>0</v>
      </c>
    </row>
    <row r="54" spans="1:17" x14ac:dyDescent="0.25">
      <c r="A54" s="43"/>
      <c r="B54" s="29">
        <v>100</v>
      </c>
      <c r="C54" s="29">
        <v>1650</v>
      </c>
      <c r="D54" s="28" t="s">
        <v>69</v>
      </c>
      <c r="E54">
        <v>99.066000000000003</v>
      </c>
      <c r="F54" t="str">
        <f t="shared" si="12"/>
        <v>-(</v>
      </c>
      <c r="G54" s="31">
        <v>146.83199999999999</v>
      </c>
      <c r="H54" s="31" t="s">
        <v>70</v>
      </c>
      <c r="I54" s="31">
        <v>2677.6</v>
      </c>
      <c r="J54" s="31" t="str">
        <f t="shared" si="13"/>
        <v>)/</v>
      </c>
      <c r="K54" s="31">
        <v>456.8</v>
      </c>
      <c r="L54" s="31" t="s">
        <v>71</v>
      </c>
      <c r="M54" s="32">
        <f t="shared" si="14"/>
        <v>98.649221206253785</v>
      </c>
      <c r="N54" s="29">
        <v>1650</v>
      </c>
      <c r="O54" s="29">
        <v>85</v>
      </c>
      <c r="Q54" s="33">
        <v>0</v>
      </c>
    </row>
  </sheetData>
  <mergeCells count="6">
    <mergeCell ref="A1:A54"/>
    <mergeCell ref="D2:L2"/>
    <mergeCell ref="D13:L13"/>
    <mergeCell ref="D24:L24"/>
    <mergeCell ref="D35:L35"/>
    <mergeCell ref="D46:L4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第5期整體運輸規劃</vt:lpstr>
      <vt:lpstr>桃園縣整體運輸規劃(100年)</vt:lpstr>
      <vt:lpstr>運研所流量速率關係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</dc:creator>
  <cp:lastModifiedBy>凱惇 張</cp:lastModifiedBy>
  <dcterms:created xsi:type="dcterms:W3CDTF">2022-10-12T02:41:49Z</dcterms:created>
  <dcterms:modified xsi:type="dcterms:W3CDTF">2026-07-20T08:22:31Z</dcterms:modified>
</cp:coreProperties>
</file>