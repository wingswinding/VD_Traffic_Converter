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VD_Traffic_Converter\"/>
    </mc:Choice>
  </mc:AlternateContent>
  <xr:revisionPtr revIDLastSave="0" documentId="13_ncr:1_{2CC00E8B-116F-4A36-B273-0E3711B52B32}" xr6:coauthVersionLast="47" xr6:coauthVersionMax="47" xr10:uidLastSave="{00000000-0000-0000-0000-000000000000}"/>
  <bookViews>
    <workbookView xWindow="28680" yWindow="15" windowWidth="29040" windowHeight="15840" tabRatio="753" firstSheet="1" activeTab="1" xr2:uid="{B27683BA-75E3-4ECD-99EA-F0757F7ACE03}"/>
  </bookViews>
  <sheets>
    <sheet name="運輸需求預測-零方案 (備份)" sheetId="8" state="hidden" r:id="rId1"/>
    <sheet name="高速公路(偵測器)" sheetId="26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PCU11">[1]基本!$B$35</definedName>
    <definedName name="_PCU12">[1]基本!$C$35</definedName>
    <definedName name="_PCU13">[1]基本!$D$35</definedName>
    <definedName name="_PCU14">[1]基本!$E$35</definedName>
    <definedName name="_PCU21">[1]基本!$F$35</definedName>
    <definedName name="_PCU22">[1]基本!$G$35</definedName>
    <definedName name="_PCU23">[1]基本!$H$35</definedName>
    <definedName name="_PCU31">[1]基本!$I$35</definedName>
    <definedName name="_PCU32">[1]基本!$J$35</definedName>
    <definedName name="_PCU33">[1]基本!$K$35</definedName>
    <definedName name="CHECK">[2]基本!#REF!</definedName>
    <definedName name="FLOW">#REF!</definedName>
    <definedName name="G_AM">#REF!</definedName>
    <definedName name="G_INFO">#REF!</definedName>
    <definedName name="G_PM">#REF!</definedName>
    <definedName name="GAM">#REF!</definedName>
    <definedName name="GINFO">#REF!</definedName>
    <definedName name="GPM">#REF!</definedName>
    <definedName name="ROADNAME">[3]基本!$I$5,[3]基本!$G$9,[3]基本!$E$5,[3]基本!$G$1</definedName>
    <definedName name="WEEKDAY">[3]基本!$C$6</definedName>
    <definedName name="十">[4]基本!$C$6</definedName>
    <definedName name="五">[5]計算!$Y$3</definedName>
    <definedName name="哈">[5]表!$A$1:$AD$43</definedName>
    <definedName name="時制A">[6]基本時制!$G$9:$I$10,[6]基本時制!$K$9:$M$10,[6]基本時制!#REF!,[6]基本時制!#REF!,[6]基本時制!#REF!</definedName>
    <definedName name="時制B">[6]基本時制!$G$7:$I$10,[6]基本時制!$K$7:$M$10,[6]基本時制!#REF!,[6]基本時制!#REF!,[6]基本時制!#REF!</definedName>
    <definedName name="假日">#REF!</definedName>
    <definedName name="基本">[6]基本!$B$1,[6]基本!$B$2,[6]基本!$B$3,[6]基本!$B$4,[6]基本!$B$7,[6]基本!$B$8,[6]基本!$B$11,[6]基本!$B$12,[6]基本!$B$17,[6]基本!$B$18,[6]基本!$C$17,[6]基本!$C$18,[6]基本!$D$17,[6]基本!$D$18,[6]基本!$E$17,[6]基本!$E$18,[6]基本!$B$22,[6]基本!$B$23,[6]基本!$B$25,[6]基本!$B$24,[6]基本!$B$26,[6]基本!$A$35:$B$38,[6]基本!$A$34,[6]基本!$B$34,[6]基本!$E$34:$F$38,[6]基本!$I$34:$J$38,[6]基本!$A$43:$B$47,[6]基本!$E$43:$F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4" i="26" l="1"/>
  <c r="F34" i="26"/>
  <c r="F33" i="26"/>
  <c r="F16" i="26"/>
  <c r="F15" i="26"/>
  <c r="Q70" i="26" a="1"/>
  <c r="Q77" i="26" a="1"/>
  <c r="Q71" i="26" a="1"/>
  <c r="Q73" i="26" a="1"/>
  <c r="Q72" i="26" a="1"/>
  <c r="Q74" i="26" a="1"/>
  <c r="Q76" i="26" a="1"/>
  <c r="Q79" i="26" a="1"/>
  <c r="Q78" i="26" a="1"/>
  <c r="Q80" i="26" a="1"/>
  <c r="Q69" i="26" a="1"/>
  <c r="Q75" i="26" a="1"/>
  <c r="Q80" i="26" l="1"/>
  <c r="D80" i="26" s="1"/>
  <c r="Q79" i="26"/>
  <c r="D79" i="26" s="1"/>
  <c r="Q75" i="26"/>
  <c r="D75" i="26" s="1"/>
  <c r="Q76" i="26"/>
  <c r="D76" i="26" s="1"/>
  <c r="Q78" i="26"/>
  <c r="D78" i="26" s="1"/>
  <c r="Q77" i="26"/>
  <c r="D77" i="26" s="1"/>
  <c r="Q73" i="26"/>
  <c r="D73" i="26" s="1"/>
  <c r="Q74" i="26"/>
  <c r="D74" i="26" s="1"/>
  <c r="Q71" i="26"/>
  <c r="D71" i="26" s="1"/>
  <c r="Q72" i="26"/>
  <c r="D72" i="26" s="1"/>
  <c r="Q69" i="26"/>
  <c r="D69" i="26" s="1"/>
  <c r="Q70" i="26"/>
  <c r="D70" i="26" s="1"/>
  <c r="K80" i="26" l="1"/>
  <c r="G80" i="26"/>
  <c r="K79" i="26"/>
  <c r="G79" i="26"/>
  <c r="G77" i="26"/>
  <c r="K77" i="26"/>
  <c r="G76" i="26"/>
  <c r="K76" i="26"/>
  <c r="K78" i="26"/>
  <c r="G78" i="26"/>
  <c r="K75" i="26"/>
  <c r="G75" i="26"/>
  <c r="K74" i="26"/>
  <c r="G74" i="26"/>
  <c r="G73" i="26"/>
  <c r="K73" i="26"/>
  <c r="K72" i="26"/>
  <c r="G72" i="26"/>
  <c r="G71" i="26"/>
  <c r="K71" i="26"/>
  <c r="K70" i="26"/>
  <c r="G70" i="26"/>
  <c r="K69" i="26"/>
  <c r="G69" i="26"/>
  <c r="M70" i="26" l="1"/>
  <c r="M78" i="26"/>
  <c r="M79" i="26"/>
  <c r="M71" i="26"/>
  <c r="M76" i="26"/>
  <c r="M74" i="26"/>
  <c r="M80" i="26"/>
  <c r="M77" i="26"/>
  <c r="M72" i="26"/>
  <c r="M75" i="26"/>
  <c r="M73" i="26"/>
  <c r="M69" i="26"/>
  <c r="I73" i="26"/>
  <c r="I74" i="26"/>
  <c r="I80" i="26"/>
  <c r="I71" i="26"/>
  <c r="I76" i="26"/>
  <c r="I72" i="26"/>
  <c r="I75" i="26"/>
  <c r="I77" i="26"/>
  <c r="I70" i="26"/>
  <c r="I78" i="26"/>
  <c r="I79" i="26"/>
  <c r="I69" i="26"/>
  <c r="N50" i="26" l="1"/>
  <c r="N52" i="26"/>
  <c r="AV56" i="26"/>
  <c r="AW56" i="26" s="1"/>
  <c r="AU56" i="26"/>
  <c r="AO56" i="26"/>
  <c r="AL56" i="26"/>
  <c r="AH56" i="26"/>
  <c r="AV55" i="26"/>
  <c r="AW55" i="26" s="1"/>
  <c r="AU55" i="26"/>
  <c r="AO55" i="26"/>
  <c r="AL55" i="26"/>
  <c r="AH55" i="26"/>
  <c r="AV54" i="26"/>
  <c r="AW54" i="26" s="1"/>
  <c r="AU54" i="26"/>
  <c r="AO54" i="26"/>
  <c r="AL54" i="26"/>
  <c r="AH54" i="26"/>
  <c r="AV53" i="26"/>
  <c r="AW53" i="26" s="1"/>
  <c r="AU53" i="26"/>
  <c r="AO53" i="26"/>
  <c r="AL53" i="26"/>
  <c r="AH53" i="26"/>
  <c r="AV52" i="26"/>
  <c r="AW52" i="26" s="1"/>
  <c r="AU52" i="26"/>
  <c r="AO52" i="26"/>
  <c r="AL52" i="26"/>
  <c r="AH52" i="26"/>
  <c r="AV51" i="26"/>
  <c r="AW51" i="26" s="1"/>
  <c r="AU51" i="26"/>
  <c r="AO51" i="26"/>
  <c r="AL51" i="26"/>
  <c r="AH51" i="26"/>
  <c r="AV50" i="26"/>
  <c r="AW50" i="26" s="1"/>
  <c r="AU50" i="26"/>
  <c r="AO50" i="26"/>
  <c r="AL50" i="26"/>
  <c r="AH50" i="26"/>
  <c r="AV49" i="26"/>
  <c r="AW49" i="26" s="1"/>
  <c r="AW57" i="26" s="1"/>
  <c r="AU49" i="26"/>
  <c r="AO49" i="26"/>
  <c r="AL49" i="26"/>
  <c r="AH49" i="26"/>
  <c r="AW45" i="26"/>
  <c r="AV45" i="26"/>
  <c r="AU45" i="26"/>
  <c r="AO45" i="26"/>
  <c r="AL45" i="26"/>
  <c r="AH45" i="26"/>
  <c r="AW44" i="26"/>
  <c r="AV44" i="26"/>
  <c r="AU44" i="26"/>
  <c r="AO44" i="26"/>
  <c r="AL44" i="26"/>
  <c r="AH44" i="26"/>
  <c r="AW43" i="26"/>
  <c r="AV43" i="26"/>
  <c r="AU43" i="26"/>
  <c r="AO43" i="26"/>
  <c r="AL43" i="26"/>
  <c r="AH43" i="26"/>
  <c r="AW42" i="26"/>
  <c r="AV42" i="26"/>
  <c r="AU42" i="26"/>
  <c r="AO42" i="26"/>
  <c r="AL42" i="26"/>
  <c r="AH42" i="26"/>
  <c r="AW41" i="26"/>
  <c r="AV41" i="26"/>
  <c r="AU41" i="26"/>
  <c r="AO41" i="26"/>
  <c r="AL41" i="26"/>
  <c r="AH41" i="26"/>
  <c r="AW40" i="26"/>
  <c r="AV40" i="26"/>
  <c r="AU40" i="26"/>
  <c r="AO40" i="26"/>
  <c r="AL40" i="26"/>
  <c r="AH40" i="26"/>
  <c r="AW39" i="26"/>
  <c r="AV39" i="26"/>
  <c r="AU39" i="26"/>
  <c r="AO39" i="26"/>
  <c r="AL39" i="26"/>
  <c r="AH39" i="26"/>
  <c r="AW38" i="26"/>
  <c r="AW46" i="26" s="1"/>
  <c r="AV38" i="26"/>
  <c r="AU38" i="26"/>
  <c r="AO38" i="26"/>
  <c r="AL38" i="26"/>
  <c r="AH38" i="26"/>
  <c r="AO34" i="26"/>
  <c r="AL34" i="26"/>
  <c r="AH34" i="26"/>
  <c r="AO33" i="26"/>
  <c r="AL33" i="26"/>
  <c r="AH33" i="26"/>
  <c r="AO32" i="26"/>
  <c r="AL32" i="26"/>
  <c r="AH32" i="26"/>
  <c r="AO31" i="26"/>
  <c r="AL31" i="26"/>
  <c r="AH31" i="26"/>
  <c r="AO30" i="26"/>
  <c r="AL30" i="26"/>
  <c r="AH30" i="26"/>
  <c r="AO29" i="26"/>
  <c r="AL29" i="26"/>
  <c r="AH29" i="26"/>
  <c r="AO28" i="26"/>
  <c r="AL28" i="26"/>
  <c r="AH28" i="26"/>
  <c r="AO27" i="26"/>
  <c r="AL27" i="26"/>
  <c r="AH27" i="26"/>
  <c r="AO23" i="26"/>
  <c r="AL23" i="26"/>
  <c r="AH23" i="26"/>
  <c r="AO22" i="26"/>
  <c r="AL22" i="26"/>
  <c r="AH22" i="26"/>
  <c r="AO21" i="26"/>
  <c r="AL21" i="26"/>
  <c r="AH21" i="26"/>
  <c r="AO20" i="26"/>
  <c r="AL20" i="26"/>
  <c r="AH20" i="26"/>
  <c r="AO19" i="26"/>
  <c r="AL19" i="26"/>
  <c r="AH19" i="26"/>
  <c r="AO18" i="26"/>
  <c r="AL18" i="26"/>
  <c r="AH18" i="26"/>
  <c r="AO17" i="26"/>
  <c r="AL17" i="26"/>
  <c r="AH17" i="26"/>
  <c r="AO16" i="26"/>
  <c r="AL16" i="26"/>
  <c r="AH16" i="26"/>
  <c r="AO12" i="26"/>
  <c r="AL12" i="26"/>
  <c r="AH12" i="26"/>
  <c r="AO11" i="26"/>
  <c r="AL11" i="26"/>
  <c r="AH11" i="26"/>
  <c r="AO10" i="26"/>
  <c r="AL10" i="26"/>
  <c r="AH10" i="26"/>
  <c r="AO9" i="26"/>
  <c r="AL9" i="26"/>
  <c r="AH9" i="26"/>
  <c r="AO8" i="26"/>
  <c r="AL8" i="26"/>
  <c r="AH8" i="26"/>
  <c r="AO7" i="26"/>
  <c r="AL7" i="26"/>
  <c r="AH7" i="26"/>
  <c r="AO6" i="26"/>
  <c r="AL6" i="26"/>
  <c r="AH6" i="26"/>
  <c r="AO5" i="26"/>
  <c r="AL5" i="26"/>
  <c r="AH5" i="26"/>
  <c r="Q62" i="26" a="1"/>
  <c r="Q26" i="26" a="1"/>
  <c r="Q46" i="26" a="1"/>
  <c r="Q29" i="26" a="1"/>
  <c r="Q4" i="26" a="1"/>
  <c r="Q59" i="26" a="1"/>
  <c r="Q35" i="26" a="1"/>
  <c r="Q33" i="26" a="1"/>
  <c r="Q34" i="26" a="1"/>
  <c r="Q63" i="26" a="1"/>
  <c r="Q32" i="26" a="1"/>
  <c r="Q55" i="26" a="1"/>
  <c r="Q36" i="26" a="1"/>
  <c r="Q45" i="26" a="1"/>
  <c r="Q44" i="26" a="1"/>
  <c r="Q18" i="26" a="1"/>
  <c r="Q20" i="26" a="1"/>
  <c r="Q25" i="26" a="1"/>
  <c r="Q13" i="26" a="1"/>
  <c r="Q47" i="26" a="1"/>
  <c r="Q3" i="26" a="1"/>
  <c r="Q43" i="26" a="1"/>
  <c r="Q58" i="26" a="1"/>
  <c r="Q48" i="26" a="1"/>
  <c r="Q60" i="26" a="1"/>
  <c r="Q57" i="26" a="1"/>
  <c r="Q64" i="26" a="1"/>
  <c r="Q11" i="26" a="1"/>
  <c r="Q28" i="26" a="1"/>
  <c r="Q54" i="26" a="1"/>
  <c r="Q23" i="26" a="1"/>
  <c r="Q50" i="26" a="1"/>
  <c r="Q61" i="26" a="1"/>
  <c r="Q12" i="26" a="1"/>
  <c r="Q49" i="26" a="1"/>
  <c r="Q66" i="26" a="1"/>
  <c r="Q6" i="26" a="1"/>
  <c r="Q16" i="26" a="1"/>
  <c r="Q65" i="26" a="1"/>
  <c r="Q40" i="26" a="1"/>
  <c r="Q56" i="26" a="1"/>
  <c r="Q52" i="26" a="1"/>
  <c r="Q5" i="26" a="1"/>
  <c r="Q31" i="26" a="1"/>
  <c r="Q8" i="26" a="1"/>
  <c r="Q17" i="26" a="1"/>
  <c r="Q37" i="26" a="1"/>
  <c r="Q14" i="26" a="1"/>
  <c r="Q19" i="26" a="1"/>
  <c r="Q24" i="26" a="1"/>
  <c r="Q39" i="26" a="1"/>
  <c r="Q51" i="26" a="1"/>
  <c r="Q53" i="26" a="1"/>
  <c r="Q7" i="26" a="1"/>
  <c r="Q30" i="26" a="1"/>
  <c r="Q9" i="26" a="1"/>
  <c r="Q27" i="26" a="1"/>
  <c r="Q15" i="26" a="1"/>
  <c r="Q38" i="26" a="1"/>
  <c r="Q10" i="26" a="1"/>
  <c r="Q61" i="26" l="1"/>
  <c r="D61" i="26" s="1"/>
  <c r="Q64" i="26"/>
  <c r="D64" i="26" s="1"/>
  <c r="Q66" i="26"/>
  <c r="D66" i="26" s="1"/>
  <c r="Q63" i="26"/>
  <c r="D63" i="26" s="1"/>
  <c r="Q65" i="26"/>
  <c r="D65" i="26" s="1"/>
  <c r="Q62" i="26"/>
  <c r="D62" i="26" s="1"/>
  <c r="Q44" i="26"/>
  <c r="D44" i="26" s="1"/>
  <c r="Q50" i="26"/>
  <c r="D50" i="26" s="1"/>
  <c r="Q45" i="26"/>
  <c r="D45" i="26" s="1"/>
  <c r="Q51" i="26"/>
  <c r="D51" i="26" s="1"/>
  <c r="Q57" i="26"/>
  <c r="D57" i="26" s="1"/>
  <c r="Q46" i="26"/>
  <c r="D46" i="26" s="1"/>
  <c r="Q52" i="26"/>
  <c r="D52" i="26" s="1"/>
  <c r="Q58" i="26"/>
  <c r="D58" i="26" s="1"/>
  <c r="Q47" i="26"/>
  <c r="D47" i="26" s="1"/>
  <c r="Q53" i="26"/>
  <c r="D53" i="26" s="1"/>
  <c r="Q59" i="26"/>
  <c r="D59" i="26" s="1"/>
  <c r="Q48" i="26"/>
  <c r="D48" i="26" s="1"/>
  <c r="Q54" i="26"/>
  <c r="D54" i="26" s="1"/>
  <c r="Q60" i="26"/>
  <c r="D60" i="26" s="1"/>
  <c r="Q56" i="26"/>
  <c r="D56" i="26" s="1"/>
  <c r="Q43" i="26"/>
  <c r="D43" i="26" s="1"/>
  <c r="Q49" i="26"/>
  <c r="D49" i="26" s="1"/>
  <c r="Q55" i="26"/>
  <c r="D55" i="26" s="1"/>
  <c r="Q36" i="26"/>
  <c r="D36" i="26" s="1"/>
  <c r="Q25" i="26"/>
  <c r="D25" i="26" s="1"/>
  <c r="Q26" i="26"/>
  <c r="D26" i="26" s="1"/>
  <c r="Q32" i="26"/>
  <c r="D32" i="26" s="1"/>
  <c r="Q38" i="26"/>
  <c r="D38" i="26" s="1"/>
  <c r="Q37" i="26"/>
  <c r="D37" i="26" s="1"/>
  <c r="Q27" i="26"/>
  <c r="D27" i="26" s="1"/>
  <c r="Q33" i="26"/>
  <c r="D33" i="26" s="1"/>
  <c r="Q39" i="26"/>
  <c r="D39" i="26" s="1"/>
  <c r="Q24" i="26"/>
  <c r="D24" i="26" s="1"/>
  <c r="Q28" i="26"/>
  <c r="D28" i="26" s="1"/>
  <c r="Q34" i="26"/>
  <c r="D34" i="26" s="1"/>
  <c r="Q40" i="26"/>
  <c r="D40" i="26" s="1"/>
  <c r="Q30" i="26"/>
  <c r="D30" i="26" s="1"/>
  <c r="Q31" i="26"/>
  <c r="D31" i="26" s="1"/>
  <c r="Q23" i="26"/>
  <c r="D23" i="26" s="1"/>
  <c r="Q29" i="26"/>
  <c r="D29" i="26" s="1"/>
  <c r="Q35" i="26"/>
  <c r="D35" i="26" s="1"/>
  <c r="Q16" i="26"/>
  <c r="D16" i="26" s="1"/>
  <c r="Q13" i="26"/>
  <c r="D13" i="26" s="1"/>
  <c r="Q18" i="26"/>
  <c r="D18" i="26" s="1"/>
  <c r="Q15" i="26"/>
  <c r="D15" i="26" s="1"/>
  <c r="Q12" i="26"/>
  <c r="D12" i="26" s="1"/>
  <c r="Q9" i="26"/>
  <c r="D9" i="26" s="1"/>
  <c r="Q6" i="26"/>
  <c r="D6" i="26" s="1"/>
  <c r="Q19" i="26"/>
  <c r="D19" i="26" s="1"/>
  <c r="Q7" i="26"/>
  <c r="D7" i="26" s="1"/>
  <c r="Q10" i="26"/>
  <c r="D10" i="26" s="1"/>
  <c r="Q20" i="26"/>
  <c r="D20" i="26" s="1"/>
  <c r="Q17" i="26"/>
  <c r="D17" i="26" s="1"/>
  <c r="Q14" i="26"/>
  <c r="D14" i="26" s="1"/>
  <c r="Q11" i="26"/>
  <c r="D11" i="26" s="1"/>
  <c r="Q8" i="26"/>
  <c r="D8" i="26" s="1"/>
  <c r="Q5" i="26"/>
  <c r="D5" i="26" s="1"/>
  <c r="Q4" i="26"/>
  <c r="D4" i="26" s="1"/>
  <c r="Q3" i="26"/>
  <c r="D3" i="26" s="1"/>
  <c r="K4" i="26" l="1"/>
  <c r="K3" i="26"/>
  <c r="G63" i="26"/>
  <c r="I63" i="26" s="1"/>
  <c r="K63" i="26"/>
  <c r="M63" i="26" s="1"/>
  <c r="G66" i="26"/>
  <c r="I66" i="26" s="1"/>
  <c r="K66" i="26"/>
  <c r="M66" i="26" s="1"/>
  <c r="G65" i="26"/>
  <c r="I65" i="26" s="1"/>
  <c r="K65" i="26"/>
  <c r="M65" i="26" s="1"/>
  <c r="K64" i="26"/>
  <c r="M64" i="26" s="1"/>
  <c r="G64" i="26"/>
  <c r="I64" i="26" s="1"/>
  <c r="K62" i="26"/>
  <c r="M62" i="26" s="1"/>
  <c r="G62" i="26"/>
  <c r="I62" i="26" s="1"/>
  <c r="K61" i="26"/>
  <c r="M61" i="26" s="1"/>
  <c r="G61" i="26"/>
  <c r="I61" i="26" s="1"/>
  <c r="K48" i="26"/>
  <c r="M48" i="26" s="1"/>
  <c r="G48" i="26"/>
  <c r="I48" i="26" s="1"/>
  <c r="K49" i="26"/>
  <c r="M49" i="26" s="1"/>
  <c r="G49" i="26"/>
  <c r="I49" i="26" s="1"/>
  <c r="G59" i="26"/>
  <c r="I59" i="26" s="1"/>
  <c r="K59" i="26"/>
  <c r="M59" i="26" s="1"/>
  <c r="K57" i="26"/>
  <c r="M57" i="26" s="1"/>
  <c r="G57" i="26"/>
  <c r="I57" i="26" s="1"/>
  <c r="G46" i="26"/>
  <c r="I46" i="26" s="1"/>
  <c r="K46" i="26"/>
  <c r="M46" i="26" s="1"/>
  <c r="K43" i="26"/>
  <c r="M43" i="26" s="1"/>
  <c r="G43" i="26"/>
  <c r="I43" i="26" s="1"/>
  <c r="G53" i="26"/>
  <c r="I53" i="26" s="1"/>
  <c r="K53" i="26"/>
  <c r="M53" i="26" s="1"/>
  <c r="K51" i="26"/>
  <c r="M51" i="26" s="1"/>
  <c r="G51" i="26"/>
  <c r="I51" i="26" s="1"/>
  <c r="K55" i="26"/>
  <c r="M55" i="26" s="1"/>
  <c r="G55" i="26"/>
  <c r="I55" i="26" s="1"/>
  <c r="K56" i="26"/>
  <c r="M56" i="26" s="1"/>
  <c r="G56" i="26"/>
  <c r="I56" i="26" s="1"/>
  <c r="G47" i="26"/>
  <c r="I47" i="26" s="1"/>
  <c r="K47" i="26"/>
  <c r="M47" i="26" s="1"/>
  <c r="K45" i="26"/>
  <c r="M45" i="26" s="1"/>
  <c r="G45" i="26"/>
  <c r="I45" i="26" s="1"/>
  <c r="K60" i="26"/>
  <c r="M60" i="26" s="1"/>
  <c r="G60" i="26"/>
  <c r="I60" i="26" s="1"/>
  <c r="G58" i="26"/>
  <c r="I58" i="26" s="1"/>
  <c r="K58" i="26"/>
  <c r="M58" i="26" s="1"/>
  <c r="K50" i="26"/>
  <c r="M50" i="26" s="1"/>
  <c r="G50" i="26"/>
  <c r="I50" i="26" s="1"/>
  <c r="K54" i="26"/>
  <c r="M54" i="26" s="1"/>
  <c r="G54" i="26"/>
  <c r="I54" i="26" s="1"/>
  <c r="G52" i="26"/>
  <c r="I52" i="26" s="1"/>
  <c r="K52" i="26"/>
  <c r="M52" i="26" s="1"/>
  <c r="K44" i="26"/>
  <c r="M44" i="26" s="1"/>
  <c r="G44" i="26"/>
  <c r="I44" i="26" s="1"/>
  <c r="G34" i="26"/>
  <c r="K34" i="26"/>
  <c r="K29" i="26"/>
  <c r="G29" i="26"/>
  <c r="G28" i="26"/>
  <c r="K28" i="26"/>
  <c r="G38" i="26"/>
  <c r="K38" i="26"/>
  <c r="K37" i="26"/>
  <c r="G37" i="26"/>
  <c r="G23" i="26"/>
  <c r="K23" i="26"/>
  <c r="K24" i="26"/>
  <c r="G24" i="26"/>
  <c r="K32" i="26"/>
  <c r="G32" i="26"/>
  <c r="G35" i="26"/>
  <c r="K35" i="26"/>
  <c r="K31" i="26"/>
  <c r="G31" i="26"/>
  <c r="G39" i="26"/>
  <c r="K39" i="26"/>
  <c r="G26" i="26"/>
  <c r="K26" i="26"/>
  <c r="K30" i="26"/>
  <c r="G30" i="26"/>
  <c r="G33" i="26"/>
  <c r="K33" i="26"/>
  <c r="K25" i="26"/>
  <c r="G25" i="26"/>
  <c r="G40" i="26"/>
  <c r="K40" i="26"/>
  <c r="G27" i="26"/>
  <c r="K27" i="26"/>
  <c r="K36" i="26"/>
  <c r="G36" i="26"/>
  <c r="K17" i="26"/>
  <c r="G17" i="26"/>
  <c r="K9" i="26"/>
  <c r="G9" i="26"/>
  <c r="G20" i="26"/>
  <c r="K20" i="26"/>
  <c r="G12" i="26"/>
  <c r="K12" i="26"/>
  <c r="K5" i="26"/>
  <c r="M5" i="26" s="1"/>
  <c r="G5" i="26"/>
  <c r="I5" i="26" s="1"/>
  <c r="K10" i="26"/>
  <c r="G10" i="26"/>
  <c r="G15" i="26"/>
  <c r="K15" i="26"/>
  <c r="K8" i="26"/>
  <c r="G8" i="26"/>
  <c r="K7" i="26"/>
  <c r="G7" i="26"/>
  <c r="G18" i="26"/>
  <c r="K18" i="26"/>
  <c r="K11" i="26"/>
  <c r="G11" i="26"/>
  <c r="G19" i="26"/>
  <c r="K19" i="26"/>
  <c r="K13" i="26"/>
  <c r="G13" i="26"/>
  <c r="G14" i="26"/>
  <c r="K14" i="26"/>
  <c r="G6" i="26"/>
  <c r="I6" i="26" s="1"/>
  <c r="K6" i="26"/>
  <c r="M6" i="26" s="1"/>
  <c r="G16" i="26"/>
  <c r="K16" i="26"/>
  <c r="G4" i="26"/>
  <c r="G3" i="26"/>
  <c r="M26" i="26" l="1"/>
  <c r="M35" i="26"/>
  <c r="M28" i="26"/>
  <c r="M36" i="26"/>
  <c r="M25" i="26"/>
  <c r="M27" i="26"/>
  <c r="M33" i="26"/>
  <c r="M39" i="26"/>
  <c r="M32" i="26"/>
  <c r="M37" i="26"/>
  <c r="M29" i="26"/>
  <c r="M40" i="26"/>
  <c r="M38" i="26"/>
  <c r="M34" i="26"/>
  <c r="M30" i="26"/>
  <c r="M31" i="26"/>
  <c r="M24" i="26"/>
  <c r="I33" i="26"/>
  <c r="I38" i="26"/>
  <c r="I36" i="26"/>
  <c r="I27" i="26"/>
  <c r="I26" i="26"/>
  <c r="I35" i="26"/>
  <c r="I28" i="26"/>
  <c r="I34" i="26"/>
  <c r="I25" i="26"/>
  <c r="I32" i="26"/>
  <c r="I37" i="26"/>
  <c r="I29" i="26"/>
  <c r="I39" i="26"/>
  <c r="I30" i="26"/>
  <c r="I31" i="26"/>
  <c r="I24" i="26"/>
  <c r="I40" i="26"/>
  <c r="M23" i="26"/>
  <c r="I23" i="26"/>
  <c r="M13" i="26"/>
  <c r="M17" i="26"/>
  <c r="M19" i="26"/>
  <c r="M20" i="26"/>
  <c r="M10" i="26"/>
  <c r="M14" i="26"/>
  <c r="M11" i="26"/>
  <c r="M8" i="26"/>
  <c r="M9" i="26"/>
  <c r="M16" i="26"/>
  <c r="M18" i="26"/>
  <c r="M15" i="26"/>
  <c r="M12" i="26"/>
  <c r="M7" i="26"/>
  <c r="I10" i="26"/>
  <c r="I19" i="26"/>
  <c r="I20" i="26"/>
  <c r="I11" i="26"/>
  <c r="I8" i="26"/>
  <c r="I9" i="26"/>
  <c r="I14" i="26"/>
  <c r="I13" i="26"/>
  <c r="I17" i="26"/>
  <c r="I16" i="26"/>
  <c r="I18" i="26"/>
  <c r="I15" i="26"/>
  <c r="I12" i="26"/>
  <c r="I7" i="26"/>
  <c r="I4" i="26"/>
  <c r="M4" i="26"/>
  <c r="I3" i="26"/>
  <c r="M3" i="26"/>
  <c r="AK160" i="8" l="1"/>
  <c r="AL159" i="8"/>
  <c r="AJ159" i="8"/>
  <c r="AK158" i="8"/>
  <c r="AL162" i="8"/>
  <c r="AK162" i="8"/>
  <c r="AJ162" i="8"/>
  <c r="AN160" i="8"/>
  <c r="AH160" i="8"/>
  <c r="AN159" i="8"/>
  <c r="AH159" i="8"/>
  <c r="AN158" i="8"/>
  <c r="AH158" i="8"/>
  <c r="AL156" i="8"/>
  <c r="AK156" i="8"/>
  <c r="AJ156" i="8"/>
  <c r="AI155" i="8"/>
  <c r="AM51" i="8"/>
  <c r="AL51" i="8"/>
  <c r="AI49" i="8"/>
  <c r="AI48" i="8"/>
  <c r="AI47" i="8"/>
  <c r="AP46" i="8"/>
  <c r="AO46" i="8"/>
  <c r="AR45" i="8"/>
  <c r="AL46" i="8"/>
  <c r="AK46" i="8"/>
  <c r="AR44" i="8"/>
  <c r="AR43" i="8"/>
  <c r="AO41" i="8"/>
  <c r="AN41" i="8"/>
  <c r="X240" i="8"/>
  <c r="X248" i="8" s="1"/>
  <c r="V240" i="8"/>
  <c r="V248" i="8" s="1"/>
  <c r="T240" i="8"/>
  <c r="T248" i="8" s="1"/>
  <c r="R240" i="8"/>
  <c r="R248" i="8" s="1"/>
  <c r="P240" i="8"/>
  <c r="P248" i="8" s="1"/>
  <c r="N240" i="8"/>
  <c r="N248" i="8" s="1"/>
  <c r="L240" i="8"/>
  <c r="L248" i="8" s="1"/>
  <c r="J240" i="8"/>
  <c r="J248" i="8" s="1"/>
  <c r="H240" i="8"/>
  <c r="H248" i="8" s="1"/>
  <c r="F240" i="8"/>
  <c r="F248" i="8" s="1"/>
  <c r="S238" i="8"/>
  <c r="S246" i="8" s="1"/>
  <c r="S237" i="8"/>
  <c r="X235" i="8"/>
  <c r="X243" i="8" s="1"/>
  <c r="V235" i="8"/>
  <c r="V243" i="8" s="1"/>
  <c r="T235" i="8"/>
  <c r="T243" i="8" s="1"/>
  <c r="R235" i="8"/>
  <c r="R243" i="8" s="1"/>
  <c r="P235" i="8"/>
  <c r="P243" i="8" s="1"/>
  <c r="N235" i="8"/>
  <c r="N243" i="8" s="1"/>
  <c r="L235" i="8"/>
  <c r="L243" i="8" s="1"/>
  <c r="J235" i="8"/>
  <c r="J243" i="8" s="1"/>
  <c r="H235" i="8"/>
  <c r="H243" i="8" s="1"/>
  <c r="F235" i="8"/>
  <c r="F243" i="8" s="1"/>
  <c r="R231" i="8"/>
  <c r="Q231" i="8"/>
  <c r="P231" i="8"/>
  <c r="O231" i="8"/>
  <c r="N231" i="8"/>
  <c r="M231" i="8"/>
  <c r="S231" i="8" s="1"/>
  <c r="D231" i="8"/>
  <c r="R230" i="8"/>
  <c r="Q230" i="8"/>
  <c r="P230" i="8"/>
  <c r="O230" i="8"/>
  <c r="N230" i="8"/>
  <c r="M230" i="8"/>
  <c r="S230" i="8" s="1"/>
  <c r="D230" i="8"/>
  <c r="R229" i="8"/>
  <c r="Q229" i="8"/>
  <c r="P229" i="8"/>
  <c r="O229" i="8"/>
  <c r="N229" i="8"/>
  <c r="M229" i="8"/>
  <c r="D229" i="8"/>
  <c r="R228" i="8"/>
  <c r="Q228" i="8"/>
  <c r="P228" i="8"/>
  <c r="O228" i="8"/>
  <c r="N228" i="8"/>
  <c r="M228" i="8"/>
  <c r="S228" i="8" s="1"/>
  <c r="D228" i="8"/>
  <c r="R227" i="8"/>
  <c r="Q227" i="8"/>
  <c r="P227" i="8"/>
  <c r="O227" i="8"/>
  <c r="N227" i="8"/>
  <c r="M227" i="8"/>
  <c r="S227" i="8" s="1"/>
  <c r="D227" i="8"/>
  <c r="AK226" i="8"/>
  <c r="AD226" i="8"/>
  <c r="R226" i="8"/>
  <c r="Q226" i="8"/>
  <c r="P226" i="8"/>
  <c r="O226" i="8"/>
  <c r="N226" i="8"/>
  <c r="M226" i="8"/>
  <c r="S226" i="8" s="1"/>
  <c r="D226" i="8"/>
  <c r="AM225" i="8"/>
  <c r="AH226" i="8" s="1"/>
  <c r="AE225" i="8"/>
  <c r="AJ226" i="8" s="1"/>
  <c r="Z225" i="8"/>
  <c r="Y225" i="8"/>
  <c r="X225" i="8"/>
  <c r="W225" i="8"/>
  <c r="V225" i="8"/>
  <c r="U225" i="8"/>
  <c r="AC224" i="8"/>
  <c r="R224" i="8"/>
  <c r="Q224" i="8"/>
  <c r="P224" i="8"/>
  <c r="O224" i="8"/>
  <c r="N224" i="8"/>
  <c r="M224" i="8"/>
  <c r="S224" i="8" s="1"/>
  <c r="AN223" i="8"/>
  <c r="AN226" i="8" s="1"/>
  <c r="AD223" i="8"/>
  <c r="AO223" i="8" s="1"/>
  <c r="AC223" i="8"/>
  <c r="R223" i="8"/>
  <c r="Q223" i="8"/>
  <c r="P223" i="8"/>
  <c r="O223" i="8"/>
  <c r="N223" i="8"/>
  <c r="M223" i="8"/>
  <c r="AC222" i="8"/>
  <c r="R222" i="8"/>
  <c r="Q222" i="8"/>
  <c r="P222" i="8"/>
  <c r="O222" i="8"/>
  <c r="N222" i="8"/>
  <c r="M222" i="8"/>
  <c r="AM221" i="8"/>
  <c r="AO221" i="8" s="1"/>
  <c r="AE221" i="8"/>
  <c r="AO222" i="8" s="1"/>
  <c r="AC221" i="8"/>
  <c r="R221" i="8"/>
  <c r="Q221" i="8"/>
  <c r="P221" i="8"/>
  <c r="O221" i="8"/>
  <c r="N221" i="8"/>
  <c r="M221" i="8"/>
  <c r="AN220" i="8"/>
  <c r="AM220" i="8"/>
  <c r="AK220" i="8"/>
  <c r="AJ220" i="8"/>
  <c r="AH220" i="8"/>
  <c r="AG220" i="8"/>
  <c r="AF220" i="8"/>
  <c r="AD220" i="8"/>
  <c r="R220" i="8"/>
  <c r="Q220" i="8"/>
  <c r="P220" i="8"/>
  <c r="O220" i="8"/>
  <c r="N220" i="8"/>
  <c r="M220" i="8"/>
  <c r="S220" i="8" s="1"/>
  <c r="R219" i="8"/>
  <c r="Q219" i="8"/>
  <c r="P219" i="8"/>
  <c r="O219" i="8"/>
  <c r="N219" i="8"/>
  <c r="M219" i="8"/>
  <c r="AB218" i="8"/>
  <c r="U218" i="8"/>
  <c r="M218" i="8"/>
  <c r="Q216" i="8"/>
  <c r="P216" i="8"/>
  <c r="O216" i="8"/>
  <c r="N216" i="8"/>
  <c r="M216" i="8"/>
  <c r="D216" i="8"/>
  <c r="Q215" i="8"/>
  <c r="P215" i="8"/>
  <c r="O215" i="8"/>
  <c r="N215" i="8"/>
  <c r="M215" i="8"/>
  <c r="D215" i="8"/>
  <c r="Q214" i="8"/>
  <c r="R214" i="8" s="1"/>
  <c r="P214" i="8"/>
  <c r="O214" i="8"/>
  <c r="N214" i="8"/>
  <c r="M214" i="8"/>
  <c r="D214" i="8"/>
  <c r="Q213" i="8"/>
  <c r="P213" i="8"/>
  <c r="O213" i="8"/>
  <c r="N213" i="8"/>
  <c r="M213" i="8"/>
  <c r="D213" i="8"/>
  <c r="AK212" i="8"/>
  <c r="AJ212" i="8"/>
  <c r="AI212" i="8"/>
  <c r="AH212" i="8"/>
  <c r="AF212" i="8"/>
  <c r="AE212" i="8"/>
  <c r="AD212" i="8"/>
  <c r="AC212" i="8"/>
  <c r="Q212" i="8"/>
  <c r="R212" i="8" s="1"/>
  <c r="P212" i="8"/>
  <c r="O212" i="8"/>
  <c r="N212" i="8"/>
  <c r="M212" i="8"/>
  <c r="D212" i="8"/>
  <c r="AL211" i="8"/>
  <c r="AJ211" i="8"/>
  <c r="AD211" i="8"/>
  <c r="AB211" i="8"/>
  <c r="X211" i="8"/>
  <c r="W211" i="8"/>
  <c r="V211" i="8"/>
  <c r="U211" i="8"/>
  <c r="T211" i="8"/>
  <c r="AL210" i="8"/>
  <c r="AB210" i="8"/>
  <c r="Q210" i="8"/>
  <c r="P210" i="8"/>
  <c r="O210" i="8"/>
  <c r="N210" i="8"/>
  <c r="M210" i="8"/>
  <c r="R210" i="8" s="1"/>
  <c r="AL209" i="8"/>
  <c r="AK209" i="8"/>
  <c r="AC209" i="8"/>
  <c r="AB209" i="8"/>
  <c r="Q209" i="8"/>
  <c r="P209" i="8"/>
  <c r="O209" i="8"/>
  <c r="N209" i="8"/>
  <c r="M209" i="8"/>
  <c r="AL208" i="8"/>
  <c r="AD208" i="8"/>
  <c r="AB208" i="8"/>
  <c r="Q208" i="8"/>
  <c r="R208" i="8" s="1"/>
  <c r="P208" i="8"/>
  <c r="O208" i="8"/>
  <c r="N208" i="8"/>
  <c r="M208" i="8"/>
  <c r="AF207" i="8"/>
  <c r="AE207" i="8"/>
  <c r="AD207" i="8"/>
  <c r="AC207" i="8"/>
  <c r="Q207" i="8"/>
  <c r="P207" i="8"/>
  <c r="O207" i="8"/>
  <c r="N207" i="8"/>
  <c r="R207" i="8" s="1"/>
  <c r="M207" i="8"/>
  <c r="R206" i="8"/>
  <c r="Q206" i="8"/>
  <c r="P206" i="8"/>
  <c r="O206" i="8"/>
  <c r="N206" i="8"/>
  <c r="M206" i="8"/>
  <c r="AA205" i="8"/>
  <c r="T205" i="8"/>
  <c r="M205" i="8"/>
  <c r="Q203" i="8"/>
  <c r="P203" i="8"/>
  <c r="O203" i="8"/>
  <c r="N203" i="8"/>
  <c r="M203" i="8"/>
  <c r="D203" i="8"/>
  <c r="Q202" i="8"/>
  <c r="P202" i="8"/>
  <c r="O202" i="8"/>
  <c r="N202" i="8"/>
  <c r="M202" i="8"/>
  <c r="D202" i="8"/>
  <c r="Q201" i="8"/>
  <c r="P201" i="8"/>
  <c r="O201" i="8"/>
  <c r="N201" i="8"/>
  <c r="M201" i="8"/>
  <c r="D201" i="8"/>
  <c r="Q200" i="8"/>
  <c r="P200" i="8"/>
  <c r="O200" i="8"/>
  <c r="N200" i="8"/>
  <c r="M200" i="8"/>
  <c r="D200" i="8"/>
  <c r="AF199" i="8"/>
  <c r="AE199" i="8"/>
  <c r="AD199" i="8"/>
  <c r="AC199" i="8"/>
  <c r="Q199" i="8"/>
  <c r="P199" i="8"/>
  <c r="O199" i="8"/>
  <c r="N199" i="8"/>
  <c r="M199" i="8"/>
  <c r="D199" i="8"/>
  <c r="AL198" i="8"/>
  <c r="AD198" i="8"/>
  <c r="AB198" i="8"/>
  <c r="X198" i="8"/>
  <c r="W198" i="8"/>
  <c r="V198" i="8"/>
  <c r="U198" i="8"/>
  <c r="T198" i="8"/>
  <c r="AL197" i="8"/>
  <c r="AK197" i="8"/>
  <c r="AC197" i="8"/>
  <c r="AB197" i="8"/>
  <c r="Q197" i="8"/>
  <c r="P197" i="8"/>
  <c r="O197" i="8"/>
  <c r="N197" i="8"/>
  <c r="M197" i="8"/>
  <c r="R197" i="8" s="1"/>
  <c r="AL196" i="8"/>
  <c r="AB196" i="8"/>
  <c r="Q196" i="8"/>
  <c r="P196" i="8"/>
  <c r="O196" i="8"/>
  <c r="N196" i="8"/>
  <c r="M196" i="8"/>
  <c r="AL195" i="8"/>
  <c r="AJ195" i="8"/>
  <c r="AD195" i="8"/>
  <c r="AB195" i="8"/>
  <c r="Q195" i="8"/>
  <c r="P195" i="8"/>
  <c r="O195" i="8"/>
  <c r="N195" i="8"/>
  <c r="M195" i="8"/>
  <c r="AK194" i="8"/>
  <c r="AJ194" i="8"/>
  <c r="AI194" i="8"/>
  <c r="AH194" i="8"/>
  <c r="AF194" i="8"/>
  <c r="AE194" i="8"/>
  <c r="AD194" i="8"/>
  <c r="AC194" i="8"/>
  <c r="Q194" i="8"/>
  <c r="P194" i="8"/>
  <c r="O194" i="8"/>
  <c r="N194" i="8"/>
  <c r="M194" i="8"/>
  <c r="R194" i="8" s="1"/>
  <c r="Q193" i="8"/>
  <c r="P193" i="8"/>
  <c r="O193" i="8"/>
  <c r="N193" i="8"/>
  <c r="M193" i="8"/>
  <c r="T192" i="8"/>
  <c r="AA192" i="8" s="1"/>
  <c r="M192" i="8"/>
  <c r="Q190" i="8"/>
  <c r="P190" i="8"/>
  <c r="O190" i="8"/>
  <c r="N190" i="8"/>
  <c r="M190" i="8"/>
  <c r="D190" i="8"/>
  <c r="Q189" i="8"/>
  <c r="P189" i="8"/>
  <c r="O189" i="8"/>
  <c r="N189" i="8"/>
  <c r="M189" i="8"/>
  <c r="D189" i="8"/>
  <c r="Q188" i="8"/>
  <c r="P188" i="8"/>
  <c r="O188" i="8"/>
  <c r="N188" i="8"/>
  <c r="M188" i="8"/>
  <c r="D188" i="8"/>
  <c r="Q187" i="8"/>
  <c r="P187" i="8"/>
  <c r="O187" i="8"/>
  <c r="N187" i="8"/>
  <c r="M187" i="8"/>
  <c r="R187" i="8" s="1"/>
  <c r="D187" i="8"/>
  <c r="AF186" i="8"/>
  <c r="AE186" i="8"/>
  <c r="AD186" i="8"/>
  <c r="AC186" i="8"/>
  <c r="Q186" i="8"/>
  <c r="P186" i="8"/>
  <c r="O186" i="8"/>
  <c r="N186" i="8"/>
  <c r="M186" i="8"/>
  <c r="D186" i="8"/>
  <c r="AL185" i="8"/>
  <c r="AD185" i="8"/>
  <c r="AB185" i="8"/>
  <c r="X185" i="8"/>
  <c r="W185" i="8"/>
  <c r="V185" i="8"/>
  <c r="U185" i="8"/>
  <c r="T185" i="8"/>
  <c r="AL184" i="8"/>
  <c r="AK184" i="8"/>
  <c r="AC184" i="8"/>
  <c r="AB184" i="8"/>
  <c r="R184" i="8"/>
  <c r="Q184" i="8"/>
  <c r="P184" i="8"/>
  <c r="O184" i="8"/>
  <c r="N184" i="8"/>
  <c r="M184" i="8"/>
  <c r="AL183" i="8"/>
  <c r="AB183" i="8"/>
  <c r="Q183" i="8"/>
  <c r="P183" i="8"/>
  <c r="O183" i="8"/>
  <c r="N183" i="8"/>
  <c r="R183" i="8" s="1"/>
  <c r="M183" i="8"/>
  <c r="AL182" i="8"/>
  <c r="AJ182" i="8"/>
  <c r="AD182" i="8"/>
  <c r="AB182" i="8"/>
  <c r="Q182" i="8"/>
  <c r="P182" i="8"/>
  <c r="O182" i="8"/>
  <c r="N182" i="8"/>
  <c r="M182" i="8"/>
  <c r="R182" i="8" s="1"/>
  <c r="AK181" i="8"/>
  <c r="AJ181" i="8"/>
  <c r="AI181" i="8"/>
  <c r="AH181" i="8"/>
  <c r="AF181" i="8"/>
  <c r="AE181" i="8"/>
  <c r="AD181" i="8"/>
  <c r="AC181" i="8"/>
  <c r="Q181" i="8"/>
  <c r="P181" i="8"/>
  <c r="O181" i="8"/>
  <c r="N181" i="8"/>
  <c r="R181" i="8" s="1"/>
  <c r="M181" i="8"/>
  <c r="Q180" i="8"/>
  <c r="P180" i="8"/>
  <c r="O180" i="8"/>
  <c r="N180" i="8"/>
  <c r="M180" i="8"/>
  <c r="R180" i="8" s="1"/>
  <c r="M179" i="8"/>
  <c r="T179" i="8" s="1"/>
  <c r="AA179" i="8" s="1"/>
  <c r="V175" i="8"/>
  <c r="AD172" i="8" s="1"/>
  <c r="U175" i="8"/>
  <c r="S175" i="8"/>
  <c r="R175" i="8"/>
  <c r="Q175" i="8"/>
  <c r="T175" i="8" s="1"/>
  <c r="P175" i="8"/>
  <c r="O175" i="8"/>
  <c r="N175" i="8"/>
  <c r="M175" i="8"/>
  <c r="AC174" i="8"/>
  <c r="U174" i="8"/>
  <c r="AB175" i="8" s="1"/>
  <c r="T174" i="8"/>
  <c r="S174" i="8"/>
  <c r="R174" i="8"/>
  <c r="Q174" i="8"/>
  <c r="O174" i="8"/>
  <c r="N174" i="8"/>
  <c r="M174" i="8"/>
  <c r="P174" i="8" s="1"/>
  <c r="U173" i="8"/>
  <c r="AC176" i="8" s="1"/>
  <c r="T173" i="8"/>
  <c r="S173" i="8"/>
  <c r="R173" i="8"/>
  <c r="Q173" i="8"/>
  <c r="O173" i="8"/>
  <c r="N173" i="8"/>
  <c r="M173" i="8"/>
  <c r="P173" i="8" s="1"/>
  <c r="U172" i="8"/>
  <c r="AD175" i="8" s="1"/>
  <c r="S172" i="8"/>
  <c r="R172" i="8"/>
  <c r="Q172" i="8"/>
  <c r="T172" i="8" s="1"/>
  <c r="P172" i="8"/>
  <c r="O172" i="8"/>
  <c r="N172" i="8"/>
  <c r="M172" i="8"/>
  <c r="M171" i="8"/>
  <c r="V171" i="8" s="1"/>
  <c r="AA171" i="8" s="1"/>
  <c r="U167" i="8"/>
  <c r="S167" i="8"/>
  <c r="R167" i="8"/>
  <c r="Q167" i="8"/>
  <c r="O167" i="8"/>
  <c r="N167" i="8"/>
  <c r="M167" i="8"/>
  <c r="P167" i="8" s="1"/>
  <c r="AC166" i="8"/>
  <c r="U166" i="8"/>
  <c r="AB167" i="8" s="1"/>
  <c r="T166" i="8"/>
  <c r="S166" i="8"/>
  <c r="R166" i="8"/>
  <c r="Q166" i="8"/>
  <c r="O166" i="8"/>
  <c r="N166" i="8"/>
  <c r="M166" i="8"/>
  <c r="U165" i="8"/>
  <c r="AC168" i="8" s="1"/>
  <c r="T165" i="8"/>
  <c r="S165" i="8"/>
  <c r="R165" i="8"/>
  <c r="Q165" i="8"/>
  <c r="O165" i="8"/>
  <c r="N165" i="8"/>
  <c r="M165" i="8"/>
  <c r="U164" i="8"/>
  <c r="AD167" i="8" s="1"/>
  <c r="S164" i="8"/>
  <c r="R164" i="8"/>
  <c r="Q164" i="8"/>
  <c r="O164" i="8"/>
  <c r="N164" i="8"/>
  <c r="M164" i="8"/>
  <c r="P164" i="8" s="1"/>
  <c r="V163" i="8"/>
  <c r="AA163" i="8" s="1"/>
  <c r="M163" i="8"/>
  <c r="U159" i="8"/>
  <c r="S159" i="8"/>
  <c r="R159" i="8"/>
  <c r="Q159" i="8"/>
  <c r="O159" i="8"/>
  <c r="N159" i="8"/>
  <c r="M159" i="8"/>
  <c r="P159" i="8" s="1"/>
  <c r="AC158" i="8"/>
  <c r="U158" i="8"/>
  <c r="AB159" i="8" s="1"/>
  <c r="T158" i="8"/>
  <c r="S158" i="8"/>
  <c r="R158" i="8"/>
  <c r="Q158" i="8"/>
  <c r="O158" i="8"/>
  <c r="P158" i="8" s="1"/>
  <c r="N158" i="8"/>
  <c r="M158" i="8"/>
  <c r="U157" i="8"/>
  <c r="AC160" i="8" s="1"/>
  <c r="T157" i="8"/>
  <c r="S157" i="8"/>
  <c r="R157" i="8"/>
  <c r="Q157" i="8"/>
  <c r="O157" i="8"/>
  <c r="P157" i="8" s="1"/>
  <c r="N157" i="8"/>
  <c r="M157" i="8"/>
  <c r="U156" i="8"/>
  <c r="AD159" i="8" s="1"/>
  <c r="S156" i="8"/>
  <c r="R156" i="8"/>
  <c r="Q156" i="8"/>
  <c r="O156" i="8"/>
  <c r="N156" i="8"/>
  <c r="M156" i="8"/>
  <c r="P156" i="8" s="1"/>
  <c r="AA155" i="8"/>
  <c r="M155" i="8"/>
  <c r="V155" i="8" s="1"/>
  <c r="AB151" i="8"/>
  <c r="U151" i="8"/>
  <c r="T151" i="8"/>
  <c r="S151" i="8"/>
  <c r="R151" i="8"/>
  <c r="Q151" i="8"/>
  <c r="O151" i="8"/>
  <c r="N151" i="8"/>
  <c r="M151" i="8"/>
  <c r="AC150" i="8"/>
  <c r="V150" i="8"/>
  <c r="Z150" i="8" s="1"/>
  <c r="U150" i="8"/>
  <c r="S150" i="8"/>
  <c r="R150" i="8"/>
  <c r="Q150" i="8"/>
  <c r="T150" i="8" s="1"/>
  <c r="P150" i="8"/>
  <c r="O150" i="8"/>
  <c r="N150" i="8"/>
  <c r="M150" i="8"/>
  <c r="U149" i="8"/>
  <c r="AC152" i="8" s="1"/>
  <c r="S149" i="8"/>
  <c r="R149" i="8"/>
  <c r="Q149" i="8"/>
  <c r="T149" i="8" s="1"/>
  <c r="P149" i="8"/>
  <c r="O149" i="8"/>
  <c r="N149" i="8"/>
  <c r="M149" i="8"/>
  <c r="U148" i="8"/>
  <c r="AD151" i="8" s="1"/>
  <c r="T148" i="8"/>
  <c r="S148" i="8"/>
  <c r="R148" i="8"/>
  <c r="Q148" i="8"/>
  <c r="O148" i="8"/>
  <c r="N148" i="8"/>
  <c r="M148" i="8"/>
  <c r="V147" i="8"/>
  <c r="AA147" i="8" s="1"/>
  <c r="M147" i="8"/>
  <c r="AD143" i="8"/>
  <c r="AB143" i="8"/>
  <c r="U143" i="8"/>
  <c r="AC142" i="8" s="1"/>
  <c r="S143" i="8"/>
  <c r="R143" i="8"/>
  <c r="T143" i="8" s="1"/>
  <c r="Q143" i="8"/>
  <c r="O143" i="8"/>
  <c r="N143" i="8"/>
  <c r="M143" i="8"/>
  <c r="U142" i="8"/>
  <c r="S142" i="8"/>
  <c r="R142" i="8"/>
  <c r="Q142" i="8"/>
  <c r="T142" i="8" s="1"/>
  <c r="O142" i="8"/>
  <c r="N142" i="8"/>
  <c r="M142" i="8"/>
  <c r="U141" i="8"/>
  <c r="AC144" i="8" s="1"/>
  <c r="S141" i="8"/>
  <c r="R141" i="8"/>
  <c r="Q141" i="8"/>
  <c r="T141" i="8" s="1"/>
  <c r="O141" i="8"/>
  <c r="N141" i="8"/>
  <c r="M141" i="8"/>
  <c r="P141" i="8" s="1"/>
  <c r="U140" i="8"/>
  <c r="S140" i="8"/>
  <c r="R140" i="8"/>
  <c r="T140" i="8" s="1"/>
  <c r="Q140" i="8"/>
  <c r="O140" i="8"/>
  <c r="N140" i="8"/>
  <c r="P140" i="8" s="1"/>
  <c r="M140" i="8"/>
  <c r="AA139" i="8"/>
  <c r="V139" i="8"/>
  <c r="M139" i="8"/>
  <c r="AD135" i="8"/>
  <c r="U135" i="8"/>
  <c r="AC134" i="8" s="1"/>
  <c r="S135" i="8"/>
  <c r="R135" i="8"/>
  <c r="Q135" i="8"/>
  <c r="T135" i="8" s="1"/>
  <c r="O135" i="8"/>
  <c r="N135" i="8"/>
  <c r="M135" i="8"/>
  <c r="P135" i="8" s="1"/>
  <c r="U134" i="8"/>
  <c r="AB135" i="8" s="1"/>
  <c r="S134" i="8"/>
  <c r="R134" i="8"/>
  <c r="T134" i="8" s="1"/>
  <c r="Q134" i="8"/>
  <c r="P134" i="8"/>
  <c r="W134" i="8" s="1"/>
  <c r="Z135" i="8" s="1"/>
  <c r="O134" i="8"/>
  <c r="N134" i="8"/>
  <c r="M134" i="8"/>
  <c r="V133" i="8"/>
  <c r="AB138" i="8" s="1"/>
  <c r="U133" i="8"/>
  <c r="AC136" i="8" s="1"/>
  <c r="S133" i="8"/>
  <c r="R133" i="8"/>
  <c r="T133" i="8" s="1"/>
  <c r="Q133" i="8"/>
  <c r="P133" i="8"/>
  <c r="O133" i="8"/>
  <c r="N133" i="8"/>
  <c r="M133" i="8"/>
  <c r="U132" i="8"/>
  <c r="S132" i="8"/>
  <c r="R132" i="8"/>
  <c r="Q132" i="8"/>
  <c r="O132" i="8"/>
  <c r="N132" i="8"/>
  <c r="M132" i="8"/>
  <c r="AA131" i="8"/>
  <c r="V131" i="8"/>
  <c r="M131" i="8"/>
  <c r="AB127" i="8"/>
  <c r="U127" i="8"/>
  <c r="T127" i="8"/>
  <c r="S127" i="8"/>
  <c r="R127" i="8"/>
  <c r="Q127" i="8"/>
  <c r="O127" i="8"/>
  <c r="N127" i="8"/>
  <c r="P127" i="8" s="1"/>
  <c r="M127" i="8"/>
  <c r="AC126" i="8"/>
  <c r="U126" i="8"/>
  <c r="S126" i="8"/>
  <c r="R126" i="8"/>
  <c r="Q126" i="8"/>
  <c r="O126" i="8"/>
  <c r="N126" i="8"/>
  <c r="M126" i="8"/>
  <c r="P126" i="8" s="1"/>
  <c r="U125" i="8"/>
  <c r="AC128" i="8" s="1"/>
  <c r="S125" i="8"/>
  <c r="R125" i="8"/>
  <c r="Q125" i="8"/>
  <c r="T125" i="8" s="1"/>
  <c r="O125" i="8"/>
  <c r="N125" i="8"/>
  <c r="M125" i="8"/>
  <c r="P125" i="8" s="1"/>
  <c r="U124" i="8"/>
  <c r="AD127" i="8" s="1"/>
  <c r="T124" i="8"/>
  <c r="S124" i="8"/>
  <c r="R124" i="8"/>
  <c r="Q124" i="8"/>
  <c r="P124" i="8"/>
  <c r="O124" i="8"/>
  <c r="N124" i="8"/>
  <c r="M124" i="8"/>
  <c r="M123" i="8"/>
  <c r="V123" i="8" s="1"/>
  <c r="AA123" i="8" s="1"/>
  <c r="AD119" i="8"/>
  <c r="AB119" i="8"/>
  <c r="U119" i="8"/>
  <c r="AC118" i="8" s="1"/>
  <c r="S119" i="8"/>
  <c r="R119" i="8"/>
  <c r="Q119" i="8"/>
  <c r="T119" i="8" s="1"/>
  <c r="O119" i="8"/>
  <c r="N119" i="8"/>
  <c r="M119" i="8"/>
  <c r="P119" i="8" s="1"/>
  <c r="U118" i="8"/>
  <c r="S118" i="8"/>
  <c r="R118" i="8"/>
  <c r="T118" i="8" s="1"/>
  <c r="X118" i="8" s="1"/>
  <c r="Z120" i="8" s="1"/>
  <c r="Q118" i="8"/>
  <c r="O118" i="8"/>
  <c r="N118" i="8"/>
  <c r="P118" i="8" s="1"/>
  <c r="M118" i="8"/>
  <c r="U117" i="8"/>
  <c r="AC120" i="8" s="1"/>
  <c r="S117" i="8"/>
  <c r="R117" i="8"/>
  <c r="T117" i="8" s="1"/>
  <c r="Q117" i="8"/>
  <c r="O117" i="8"/>
  <c r="N117" i="8"/>
  <c r="P117" i="8" s="1"/>
  <c r="M117" i="8"/>
  <c r="U116" i="8"/>
  <c r="S116" i="8"/>
  <c r="R116" i="8"/>
  <c r="Q116" i="8"/>
  <c r="T116" i="8" s="1"/>
  <c r="O116" i="8"/>
  <c r="N116" i="8"/>
  <c r="M116" i="8"/>
  <c r="V115" i="8"/>
  <c r="AA115" i="8" s="1"/>
  <c r="M115" i="8"/>
  <c r="AC112" i="8"/>
  <c r="U111" i="8"/>
  <c r="AC110" i="8" s="1"/>
  <c r="S111" i="8"/>
  <c r="R111" i="8"/>
  <c r="T111" i="8" s="1"/>
  <c r="V111" i="8" s="1"/>
  <c r="AD108" i="8" s="1"/>
  <c r="Q111" i="8"/>
  <c r="P111" i="8"/>
  <c r="O111" i="8"/>
  <c r="N111" i="8"/>
  <c r="M111" i="8"/>
  <c r="U110" i="8"/>
  <c r="AB111" i="8" s="1"/>
  <c r="S110" i="8"/>
  <c r="R110" i="8"/>
  <c r="Q110" i="8"/>
  <c r="O110" i="8"/>
  <c r="N110" i="8"/>
  <c r="M110" i="8"/>
  <c r="U109" i="8"/>
  <c r="S109" i="8"/>
  <c r="R109" i="8"/>
  <c r="Q109" i="8"/>
  <c r="T109" i="8" s="1"/>
  <c r="O109" i="8"/>
  <c r="N109" i="8"/>
  <c r="M109" i="8"/>
  <c r="P109" i="8" s="1"/>
  <c r="U108" i="8"/>
  <c r="AD111" i="8" s="1"/>
  <c r="S108" i="8"/>
  <c r="R108" i="8"/>
  <c r="T108" i="8" s="1"/>
  <c r="Q108" i="8"/>
  <c r="P108" i="8"/>
  <c r="O108" i="8"/>
  <c r="N108" i="8"/>
  <c r="M108" i="8"/>
  <c r="M107" i="8"/>
  <c r="V107" i="8" s="1"/>
  <c r="AA107" i="8" s="1"/>
  <c r="U103" i="8"/>
  <c r="S103" i="8"/>
  <c r="R103" i="8"/>
  <c r="Q103" i="8"/>
  <c r="O103" i="8"/>
  <c r="N103" i="8"/>
  <c r="M103" i="8"/>
  <c r="P103" i="8" s="1"/>
  <c r="AC102" i="8"/>
  <c r="U102" i="8"/>
  <c r="AB103" i="8" s="1"/>
  <c r="T102" i="8"/>
  <c r="S102" i="8"/>
  <c r="R102" i="8"/>
  <c r="Q102" i="8"/>
  <c r="O102" i="8"/>
  <c r="N102" i="8"/>
  <c r="P102" i="8" s="1"/>
  <c r="M102" i="8"/>
  <c r="U101" i="8"/>
  <c r="AC104" i="8" s="1"/>
  <c r="T101" i="8"/>
  <c r="S101" i="8"/>
  <c r="R101" i="8"/>
  <c r="Q101" i="8"/>
  <c r="O101" i="8"/>
  <c r="N101" i="8"/>
  <c r="P101" i="8" s="1"/>
  <c r="M101" i="8"/>
  <c r="U100" i="8"/>
  <c r="AD103" i="8" s="1"/>
  <c r="S100" i="8"/>
  <c r="R100" i="8"/>
  <c r="Q100" i="8"/>
  <c r="O100" i="8"/>
  <c r="N100" i="8"/>
  <c r="M100" i="8"/>
  <c r="P100" i="8" s="1"/>
  <c r="V99" i="8"/>
  <c r="AA99" i="8" s="1"/>
  <c r="M99" i="8"/>
  <c r="AC97" i="8"/>
  <c r="AC96" i="8"/>
  <c r="AD95" i="8"/>
  <c r="AD97" i="8" s="1"/>
  <c r="AB95" i="8"/>
  <c r="AA95" i="8"/>
  <c r="S95" i="8"/>
  <c r="R95" i="8"/>
  <c r="T95" i="8" s="1"/>
  <c r="Q95" i="8"/>
  <c r="O95" i="8"/>
  <c r="N95" i="8"/>
  <c r="P95" i="8" s="1"/>
  <c r="M95" i="8"/>
  <c r="AE94" i="8"/>
  <c r="AC94" i="8"/>
  <c r="AA94" i="8" s="1"/>
  <c r="W94" i="8"/>
  <c r="Z95" i="8" s="1"/>
  <c r="AI35" i="8" s="1"/>
  <c r="S94" i="8"/>
  <c r="R94" i="8"/>
  <c r="T94" i="8" s="1"/>
  <c r="Q94" i="8"/>
  <c r="P94" i="8"/>
  <c r="O94" i="8"/>
  <c r="N94" i="8"/>
  <c r="M94" i="8"/>
  <c r="AD93" i="8"/>
  <c r="S93" i="8"/>
  <c r="R93" i="8"/>
  <c r="T93" i="8" s="1"/>
  <c r="Q93" i="8"/>
  <c r="O93" i="8"/>
  <c r="N93" i="8"/>
  <c r="P93" i="8" s="1"/>
  <c r="M93" i="8"/>
  <c r="T92" i="8"/>
  <c r="S92" i="8"/>
  <c r="R92" i="8"/>
  <c r="Q92" i="8"/>
  <c r="O92" i="8"/>
  <c r="N92" i="8"/>
  <c r="P92" i="8" s="1"/>
  <c r="M92" i="8"/>
  <c r="M91" i="8"/>
  <c r="V91" i="8" s="1"/>
  <c r="AA91" i="8" s="1"/>
  <c r="AD87" i="8"/>
  <c r="AB87" i="8"/>
  <c r="U87" i="8"/>
  <c r="S87" i="8"/>
  <c r="R87" i="8"/>
  <c r="Q87" i="8"/>
  <c r="T87" i="8" s="1"/>
  <c r="O87" i="8"/>
  <c r="N87" i="8"/>
  <c r="M87" i="8"/>
  <c r="P87" i="8" s="1"/>
  <c r="AC86" i="8"/>
  <c r="U86" i="8"/>
  <c r="S86" i="8"/>
  <c r="R86" i="8"/>
  <c r="T86" i="8" s="1"/>
  <c r="Q86" i="8"/>
  <c r="O86" i="8"/>
  <c r="N86" i="8"/>
  <c r="P86" i="8" s="1"/>
  <c r="M86" i="8"/>
  <c r="U85" i="8"/>
  <c r="AC88" i="8" s="1"/>
  <c r="T85" i="8"/>
  <c r="S85" i="8"/>
  <c r="R85" i="8"/>
  <c r="Q85" i="8"/>
  <c r="O85" i="8"/>
  <c r="N85" i="8"/>
  <c r="M85" i="8"/>
  <c r="P85" i="8" s="1"/>
  <c r="U84" i="8"/>
  <c r="S84" i="8"/>
  <c r="R84" i="8"/>
  <c r="Q84" i="8"/>
  <c r="T84" i="8" s="1"/>
  <c r="O84" i="8"/>
  <c r="N84" i="8"/>
  <c r="M84" i="8"/>
  <c r="V83" i="8"/>
  <c r="AA83" i="8" s="1"/>
  <c r="M83" i="8"/>
  <c r="AC80" i="8"/>
  <c r="U79" i="8"/>
  <c r="AC78" i="8" s="1"/>
  <c r="S79" i="8"/>
  <c r="R79" i="8"/>
  <c r="Q79" i="8"/>
  <c r="O79" i="8"/>
  <c r="N79" i="8"/>
  <c r="M79" i="8"/>
  <c r="P79" i="8" s="1"/>
  <c r="U78" i="8"/>
  <c r="AB79" i="8" s="1"/>
  <c r="S78" i="8"/>
  <c r="R78" i="8"/>
  <c r="Q78" i="8"/>
  <c r="P78" i="8"/>
  <c r="O78" i="8"/>
  <c r="N78" i="8"/>
  <c r="M78" i="8"/>
  <c r="U77" i="8"/>
  <c r="S77" i="8"/>
  <c r="R77" i="8"/>
  <c r="Q77" i="8"/>
  <c r="T77" i="8" s="1"/>
  <c r="P77" i="8"/>
  <c r="W77" i="8" s="1"/>
  <c r="AC82" i="8" s="1"/>
  <c r="O77" i="8"/>
  <c r="N77" i="8"/>
  <c r="M77" i="8"/>
  <c r="U76" i="8"/>
  <c r="AD79" i="8" s="1"/>
  <c r="S76" i="8"/>
  <c r="R76" i="8"/>
  <c r="Q76" i="8"/>
  <c r="O76" i="8"/>
  <c r="N76" i="8"/>
  <c r="M76" i="8"/>
  <c r="P76" i="8" s="1"/>
  <c r="M75" i="8"/>
  <c r="V75" i="8" s="1"/>
  <c r="AA75" i="8" s="1"/>
  <c r="AB71" i="8"/>
  <c r="U71" i="8"/>
  <c r="T71" i="8"/>
  <c r="S71" i="8"/>
  <c r="R71" i="8"/>
  <c r="Q71" i="8"/>
  <c r="O71" i="8"/>
  <c r="N71" i="8"/>
  <c r="P71" i="8" s="1"/>
  <c r="M71" i="8"/>
  <c r="AC70" i="8"/>
  <c r="U70" i="8"/>
  <c r="T70" i="8"/>
  <c r="S70" i="8"/>
  <c r="R70" i="8"/>
  <c r="Q70" i="8"/>
  <c r="O70" i="8"/>
  <c r="N70" i="8"/>
  <c r="M70" i="8"/>
  <c r="P70" i="8" s="1"/>
  <c r="U69" i="8"/>
  <c r="AC72" i="8" s="1"/>
  <c r="S69" i="8"/>
  <c r="R69" i="8"/>
  <c r="Q69" i="8"/>
  <c r="T69" i="8" s="1"/>
  <c r="O69" i="8"/>
  <c r="N69" i="8"/>
  <c r="M69" i="8"/>
  <c r="U68" i="8"/>
  <c r="AD71" i="8" s="1"/>
  <c r="T68" i="8"/>
  <c r="S68" i="8"/>
  <c r="R68" i="8"/>
  <c r="Q68" i="8"/>
  <c r="O68" i="8"/>
  <c r="N68" i="8"/>
  <c r="P68" i="8" s="1"/>
  <c r="M68" i="8"/>
  <c r="M67" i="8"/>
  <c r="V67" i="8" s="1"/>
  <c r="AA67" i="8" s="1"/>
  <c r="AC65" i="8"/>
  <c r="AN24" i="8" s="1"/>
  <c r="AB65" i="8"/>
  <c r="AE64" i="8"/>
  <c r="AC64" i="8"/>
  <c r="AA64" i="8" s="1"/>
  <c r="AJ23" i="8" s="1"/>
  <c r="AD63" i="8"/>
  <c r="AB63" i="8"/>
  <c r="AE63" i="8" s="1"/>
  <c r="S63" i="8"/>
  <c r="R63" i="8"/>
  <c r="Q63" i="8"/>
  <c r="T63" i="8" s="1"/>
  <c r="O63" i="8"/>
  <c r="N63" i="8"/>
  <c r="M63" i="8"/>
  <c r="AE62" i="8"/>
  <c r="AC62" i="8"/>
  <c r="AA62" i="8"/>
  <c r="AJ21" i="8" s="1"/>
  <c r="S62" i="8"/>
  <c r="R62" i="8"/>
  <c r="Q62" i="8"/>
  <c r="O62" i="8"/>
  <c r="N62" i="8"/>
  <c r="M62" i="8"/>
  <c r="P62" i="8" s="1"/>
  <c r="AB61" i="8"/>
  <c r="S61" i="8"/>
  <c r="R61" i="8"/>
  <c r="Q61" i="8"/>
  <c r="T61" i="8" s="1"/>
  <c r="O61" i="8"/>
  <c r="N61" i="8"/>
  <c r="P61" i="8" s="1"/>
  <c r="W61" i="8" s="1"/>
  <c r="AC66" i="8" s="1"/>
  <c r="AN25" i="8" s="1"/>
  <c r="M61" i="8"/>
  <c r="S60" i="8"/>
  <c r="T60" i="8" s="1"/>
  <c r="R60" i="8"/>
  <c r="Q60" i="8"/>
  <c r="O60" i="8"/>
  <c r="N60" i="8"/>
  <c r="M60" i="8"/>
  <c r="V59" i="8"/>
  <c r="AA59" i="8" s="1"/>
  <c r="M59" i="8"/>
  <c r="AD55" i="8"/>
  <c r="AB55" i="8"/>
  <c r="U55" i="8"/>
  <c r="AC54" i="8" s="1"/>
  <c r="T55" i="8"/>
  <c r="S55" i="8"/>
  <c r="R55" i="8"/>
  <c r="Q55" i="8"/>
  <c r="O55" i="8"/>
  <c r="N55" i="8"/>
  <c r="M55" i="8"/>
  <c r="P55" i="8" s="1"/>
  <c r="X55" i="8" s="1"/>
  <c r="AB52" i="8" s="1"/>
  <c r="U54" i="8"/>
  <c r="S54" i="8"/>
  <c r="R54" i="8"/>
  <c r="Q54" i="8"/>
  <c r="T54" i="8" s="1"/>
  <c r="O54" i="8"/>
  <c r="N54" i="8"/>
  <c r="M54" i="8"/>
  <c r="U53" i="8"/>
  <c r="AC56" i="8" s="1"/>
  <c r="S53" i="8"/>
  <c r="R53" i="8"/>
  <c r="Q53" i="8"/>
  <c r="O53" i="8"/>
  <c r="N53" i="8"/>
  <c r="M53" i="8"/>
  <c r="P53" i="8" s="1"/>
  <c r="U52" i="8"/>
  <c r="T52" i="8"/>
  <c r="S52" i="8"/>
  <c r="R52" i="8"/>
  <c r="Q52" i="8"/>
  <c r="O52" i="8"/>
  <c r="N52" i="8"/>
  <c r="M52" i="8"/>
  <c r="AA51" i="8"/>
  <c r="M51" i="8"/>
  <c r="V51" i="8" s="1"/>
  <c r="AD47" i="8"/>
  <c r="U47" i="8"/>
  <c r="AC46" i="8" s="1"/>
  <c r="S47" i="8"/>
  <c r="R47" i="8"/>
  <c r="Q47" i="8"/>
  <c r="T47" i="8" s="1"/>
  <c r="O47" i="8"/>
  <c r="P47" i="8" s="1"/>
  <c r="N47" i="8"/>
  <c r="M47" i="8"/>
  <c r="U46" i="8"/>
  <c r="AB47" i="8" s="1"/>
  <c r="S46" i="8"/>
  <c r="R46" i="8"/>
  <c r="Q46" i="8"/>
  <c r="P46" i="8"/>
  <c r="O46" i="8"/>
  <c r="N46" i="8"/>
  <c r="M46" i="8"/>
  <c r="U45" i="8"/>
  <c r="AC48" i="8" s="1"/>
  <c r="S45" i="8"/>
  <c r="R45" i="8"/>
  <c r="T45" i="8" s="1"/>
  <c r="Q45" i="8"/>
  <c r="O45" i="8"/>
  <c r="N45" i="8"/>
  <c r="M45" i="8"/>
  <c r="P45" i="8" s="1"/>
  <c r="U44" i="8"/>
  <c r="S44" i="8"/>
  <c r="R44" i="8"/>
  <c r="Q44" i="8"/>
  <c r="T44" i="8" s="1"/>
  <c r="O44" i="8"/>
  <c r="N44" i="8"/>
  <c r="M44" i="8"/>
  <c r="P44" i="8" s="1"/>
  <c r="M43" i="8"/>
  <c r="V43" i="8" s="1"/>
  <c r="AA43" i="8" s="1"/>
  <c r="AD39" i="8"/>
  <c r="U39" i="8"/>
  <c r="AC38" i="8" s="1"/>
  <c r="S39" i="8"/>
  <c r="R39" i="8"/>
  <c r="Q39" i="8"/>
  <c r="O39" i="8"/>
  <c r="N39" i="8"/>
  <c r="M39" i="8"/>
  <c r="P39" i="8" s="1"/>
  <c r="AQ38" i="8"/>
  <c r="AP38" i="8"/>
  <c r="AO38" i="8"/>
  <c r="AM38" i="8"/>
  <c r="AL38" i="8"/>
  <c r="AK38" i="8"/>
  <c r="AJ38" i="8"/>
  <c r="U38" i="8"/>
  <c r="AB39" i="8" s="1"/>
  <c r="S38" i="8"/>
  <c r="R38" i="8"/>
  <c r="Q38" i="8"/>
  <c r="T38" i="8" s="1"/>
  <c r="O38" i="8"/>
  <c r="N38" i="8"/>
  <c r="M38" i="8"/>
  <c r="P38" i="8" s="1"/>
  <c r="U37" i="8"/>
  <c r="AC40" i="8" s="1"/>
  <c r="S37" i="8"/>
  <c r="R37" i="8"/>
  <c r="Q37" i="8"/>
  <c r="T37" i="8" s="1"/>
  <c r="P37" i="8"/>
  <c r="O37" i="8"/>
  <c r="N37" i="8"/>
  <c r="M37" i="8"/>
  <c r="AN36" i="8"/>
  <c r="U36" i="8"/>
  <c r="S36" i="8"/>
  <c r="R36" i="8"/>
  <c r="Q36" i="8"/>
  <c r="T36" i="8" s="1"/>
  <c r="O36" i="8"/>
  <c r="N36" i="8"/>
  <c r="P36" i="8" s="1"/>
  <c r="M36" i="8"/>
  <c r="AN35" i="8"/>
  <c r="AJ35" i="8"/>
  <c r="M35" i="8"/>
  <c r="V35" i="8" s="1"/>
  <c r="AA35" i="8" s="1"/>
  <c r="AN34" i="8"/>
  <c r="AQ32" i="8"/>
  <c r="AQ31" i="8"/>
  <c r="AB31" i="8"/>
  <c r="U31" i="8"/>
  <c r="S31" i="8"/>
  <c r="T31" i="8" s="1"/>
  <c r="R31" i="8"/>
  <c r="Q31" i="8"/>
  <c r="O31" i="8"/>
  <c r="N31" i="8"/>
  <c r="M31" i="8"/>
  <c r="AQ30" i="8"/>
  <c r="AC30" i="8"/>
  <c r="U30" i="8"/>
  <c r="S30" i="8"/>
  <c r="R30" i="8"/>
  <c r="Q30" i="8"/>
  <c r="O30" i="8"/>
  <c r="N30" i="8"/>
  <c r="M30" i="8"/>
  <c r="P30" i="8" s="1"/>
  <c r="AL29" i="8"/>
  <c r="U29" i="8"/>
  <c r="AC32" i="8" s="1"/>
  <c r="S29" i="8"/>
  <c r="R29" i="8"/>
  <c r="Q29" i="8"/>
  <c r="O29" i="8"/>
  <c r="N29" i="8"/>
  <c r="M29" i="8"/>
  <c r="P29" i="8" s="1"/>
  <c r="U28" i="8"/>
  <c r="AD31" i="8" s="1"/>
  <c r="S28" i="8"/>
  <c r="R28" i="8"/>
  <c r="Q28" i="8"/>
  <c r="O28" i="8"/>
  <c r="N28" i="8"/>
  <c r="M28" i="8"/>
  <c r="P28" i="8" s="1"/>
  <c r="M27" i="8"/>
  <c r="V27" i="8" s="1"/>
  <c r="AA27" i="8" s="1"/>
  <c r="AD25" i="8"/>
  <c r="AO10" i="8" s="1"/>
  <c r="AC25" i="8"/>
  <c r="AN10" i="8" s="1"/>
  <c r="AE24" i="8"/>
  <c r="AC24" i="8"/>
  <c r="AD23" i="8"/>
  <c r="AA23" i="8" s="1"/>
  <c r="AB23" i="8"/>
  <c r="S23" i="8"/>
  <c r="R23" i="8"/>
  <c r="Q23" i="8"/>
  <c r="T23" i="8" s="1"/>
  <c r="O23" i="8"/>
  <c r="N23" i="8"/>
  <c r="P23" i="8" s="1"/>
  <c r="M23" i="8"/>
  <c r="AC22" i="8"/>
  <c r="T22" i="8"/>
  <c r="S22" i="8"/>
  <c r="R22" i="8"/>
  <c r="Q22" i="8"/>
  <c r="O22" i="8"/>
  <c r="N22" i="8"/>
  <c r="P22" i="8" s="1"/>
  <c r="M22" i="8"/>
  <c r="AD21" i="8"/>
  <c r="S21" i="8"/>
  <c r="R21" i="8"/>
  <c r="Q21" i="8"/>
  <c r="T21" i="8" s="1"/>
  <c r="O21" i="8"/>
  <c r="N21" i="8"/>
  <c r="M21" i="8"/>
  <c r="P21" i="8" s="1"/>
  <c r="AO20" i="8"/>
  <c r="AN20" i="8"/>
  <c r="AM20" i="8"/>
  <c r="S20" i="8"/>
  <c r="R20" i="8"/>
  <c r="Q20" i="8"/>
  <c r="T20" i="8" s="1"/>
  <c r="P20" i="8"/>
  <c r="W20" i="8" s="1"/>
  <c r="AF23" i="8" s="1"/>
  <c r="O20" i="8"/>
  <c r="N20" i="8"/>
  <c r="M20" i="8"/>
  <c r="AP19" i="8"/>
  <c r="V19" i="8"/>
  <c r="AA19" i="8" s="1"/>
  <c r="M19" i="8"/>
  <c r="AP18" i="8"/>
  <c r="AP17" i="8"/>
  <c r="AD17" i="8"/>
  <c r="BF16" i="8"/>
  <c r="BE16" i="8"/>
  <c r="BD16" i="8"/>
  <c r="BC16" i="8"/>
  <c r="AP16" i="8"/>
  <c r="AE16" i="8"/>
  <c r="AC16" i="8"/>
  <c r="AA16" i="8"/>
  <c r="BL15" i="8"/>
  <c r="BB15" i="8"/>
  <c r="AO15" i="8"/>
  <c r="AN15" i="8"/>
  <c r="AM15" i="8"/>
  <c r="AK15" i="8"/>
  <c r="AJ15" i="8"/>
  <c r="AE15" i="8"/>
  <c r="AO5" i="8" s="1"/>
  <c r="AD15" i="8"/>
  <c r="AA15" i="8" s="1"/>
  <c r="AB15" i="8"/>
  <c r="AB17" i="8" s="1"/>
  <c r="W15" i="8"/>
  <c r="T15" i="8"/>
  <c r="S15" i="8"/>
  <c r="R15" i="8"/>
  <c r="Q15" i="8"/>
  <c r="P15" i="8"/>
  <c r="V15" i="8" s="1"/>
  <c r="AD12" i="8" s="1"/>
  <c r="O15" i="8"/>
  <c r="N15" i="8"/>
  <c r="M15" i="8"/>
  <c r="BL14" i="8"/>
  <c r="BB14" i="8"/>
  <c r="AE14" i="8"/>
  <c r="AO4" i="8" s="1"/>
  <c r="AC14" i="8"/>
  <c r="AC17" i="8" s="1"/>
  <c r="AA14" i="8"/>
  <c r="S14" i="8"/>
  <c r="R14" i="8"/>
  <c r="Q14" i="8"/>
  <c r="O14" i="8"/>
  <c r="N14" i="8"/>
  <c r="M14" i="8"/>
  <c r="P14" i="8" s="1"/>
  <c r="BL13" i="8"/>
  <c r="BB13" i="8"/>
  <c r="AD13" i="8"/>
  <c r="AC13" i="8"/>
  <c r="AK4" i="8" s="1"/>
  <c r="AB13" i="8"/>
  <c r="S13" i="8"/>
  <c r="R13" i="8"/>
  <c r="Q13" i="8"/>
  <c r="T13" i="8" s="1"/>
  <c r="V13" i="8" s="1"/>
  <c r="AB18" i="8" s="1"/>
  <c r="AM8" i="8" s="1"/>
  <c r="O13" i="8"/>
  <c r="P13" i="8" s="1"/>
  <c r="N13" i="8"/>
  <c r="M13" i="8"/>
  <c r="BL12" i="8"/>
  <c r="BB12" i="8"/>
  <c r="AC12" i="8"/>
  <c r="AK3" i="8" s="1"/>
  <c r="S12" i="8"/>
  <c r="T12" i="8" s="1"/>
  <c r="R12" i="8"/>
  <c r="Q12" i="8"/>
  <c r="O12" i="8"/>
  <c r="N12" i="8"/>
  <c r="M12" i="8"/>
  <c r="P12" i="8" s="1"/>
  <c r="BK11" i="8"/>
  <c r="BJ11" i="8"/>
  <c r="BI11" i="8"/>
  <c r="BH11" i="8"/>
  <c r="BF11" i="8"/>
  <c r="BE11" i="8"/>
  <c r="BD11" i="8"/>
  <c r="BC11" i="8"/>
  <c r="V11" i="8"/>
  <c r="AA11" i="8" s="1"/>
  <c r="M11" i="8"/>
  <c r="AJ9" i="8"/>
  <c r="BK8" i="8"/>
  <c r="BJ8" i="8"/>
  <c r="BI8" i="8"/>
  <c r="BH8" i="8"/>
  <c r="BF8" i="8"/>
  <c r="BE8" i="8"/>
  <c r="BD8" i="8"/>
  <c r="BC8" i="8"/>
  <c r="AC8" i="8"/>
  <c r="BL7" i="8"/>
  <c r="BB7" i="8"/>
  <c r="AN7" i="8"/>
  <c r="AM7" i="8"/>
  <c r="AL7" i="8"/>
  <c r="AD7" i="8"/>
  <c r="U7" i="8"/>
  <c r="AC6" i="8" s="1"/>
  <c r="S7" i="8"/>
  <c r="R7" i="8"/>
  <c r="T7" i="8" s="1"/>
  <c r="Q7" i="8"/>
  <c r="O7" i="8"/>
  <c r="N7" i="8"/>
  <c r="M7" i="8"/>
  <c r="P7" i="8" s="1"/>
  <c r="BL6" i="8"/>
  <c r="BB6" i="8"/>
  <c r="AO6" i="8"/>
  <c r="U6" i="8"/>
  <c r="AB7" i="8" s="1"/>
  <c r="S6" i="8"/>
  <c r="R6" i="8"/>
  <c r="Q6" i="8"/>
  <c r="T6" i="8" s="1"/>
  <c r="O6" i="8"/>
  <c r="P6" i="8" s="1"/>
  <c r="N6" i="8"/>
  <c r="M6" i="8"/>
  <c r="BL5" i="8"/>
  <c r="BB5" i="8"/>
  <c r="U5" i="8"/>
  <c r="S5" i="8"/>
  <c r="T5" i="8" s="1"/>
  <c r="R5" i="8"/>
  <c r="Q5" i="8"/>
  <c r="O5" i="8"/>
  <c r="N5" i="8"/>
  <c r="M5" i="8"/>
  <c r="P5" i="8" s="1"/>
  <c r="BL4" i="8"/>
  <c r="BB4" i="8"/>
  <c r="AJ4" i="8"/>
  <c r="V4" i="8"/>
  <c r="AF8" i="8" s="1"/>
  <c r="U4" i="8"/>
  <c r="S4" i="8"/>
  <c r="R4" i="8"/>
  <c r="Q4" i="8"/>
  <c r="T4" i="8" s="1"/>
  <c r="P4" i="8"/>
  <c r="O4" i="8"/>
  <c r="N4" i="8"/>
  <c r="M4" i="8"/>
  <c r="BF3" i="8"/>
  <c r="BE3" i="8"/>
  <c r="BD3" i="8"/>
  <c r="BC3" i="8"/>
  <c r="M3" i="8"/>
  <c r="V3" i="8" s="1"/>
  <c r="AA3" i="8" s="1"/>
  <c r="Q246" i="8" l="1"/>
  <c r="O246" i="8" s="1"/>
  <c r="U237" i="8"/>
  <c r="W237" i="8" s="1"/>
  <c r="Y237" i="8" s="1"/>
  <c r="U238" i="8"/>
  <c r="W238" i="8" s="1"/>
  <c r="S245" i="8"/>
  <c r="U245" i="8" s="1"/>
  <c r="W245" i="8" s="1"/>
  <c r="Y245" i="8" s="1"/>
  <c r="U246" i="8"/>
  <c r="W246" i="8" s="1"/>
  <c r="Y246" i="8" s="1"/>
  <c r="V28" i="8"/>
  <c r="AF32" i="8" s="1"/>
  <c r="X4" i="8"/>
  <c r="AF6" i="8" s="1"/>
  <c r="W4" i="8"/>
  <c r="AF7" i="8" s="1"/>
  <c r="V7" i="8"/>
  <c r="AD4" i="8" s="1"/>
  <c r="W7" i="8"/>
  <c r="AC4" i="8" s="1"/>
  <c r="W45" i="8"/>
  <c r="AC50" i="8" s="1"/>
  <c r="X45" i="8"/>
  <c r="AD50" i="8" s="1"/>
  <c r="V45" i="8"/>
  <c r="AB50" i="8" s="1"/>
  <c r="V14" i="8"/>
  <c r="Z14" i="8" s="1"/>
  <c r="V22" i="8"/>
  <c r="Z22" i="8" s="1"/>
  <c r="AI8" i="8" s="1"/>
  <c r="X22" i="8"/>
  <c r="Z24" i="8" s="1"/>
  <c r="AI10" i="8" s="1"/>
  <c r="W22" i="8"/>
  <c r="Z23" i="8" s="1"/>
  <c r="AI9" i="8" s="1"/>
  <c r="V23" i="8"/>
  <c r="AD20" i="8" s="1"/>
  <c r="AL6" i="8" s="1"/>
  <c r="W23" i="8"/>
  <c r="AC20" i="8" s="1"/>
  <c r="AK6" i="8" s="1"/>
  <c r="X23" i="8"/>
  <c r="AB20" i="8" s="1"/>
  <c r="W5" i="8"/>
  <c r="AC10" i="8" s="1"/>
  <c r="V5" i="8"/>
  <c r="AB10" i="8" s="1"/>
  <c r="X5" i="8"/>
  <c r="AD10" i="8" s="1"/>
  <c r="X6" i="8"/>
  <c r="Z8" i="8" s="1"/>
  <c r="W6" i="8"/>
  <c r="Z7" i="8" s="1"/>
  <c r="V6" i="8"/>
  <c r="Z6" i="8" s="1"/>
  <c r="V30" i="8"/>
  <c r="Z30" i="8" s="1"/>
  <c r="X36" i="8"/>
  <c r="AF38" i="8" s="1"/>
  <c r="W36" i="8"/>
  <c r="AF39" i="8" s="1"/>
  <c r="V36" i="8"/>
  <c r="AF40" i="8" s="1"/>
  <c r="W13" i="8"/>
  <c r="AC18" i="8" s="1"/>
  <c r="AN8" i="8" s="1"/>
  <c r="X13" i="8"/>
  <c r="AD18" i="8" s="1"/>
  <c r="W21" i="8"/>
  <c r="AC26" i="8" s="1"/>
  <c r="AN11" i="8" s="1"/>
  <c r="X21" i="8"/>
  <c r="AD26" i="8" s="1"/>
  <c r="AO11" i="8" s="1"/>
  <c r="V21" i="8"/>
  <c r="AB26" i="8" s="1"/>
  <c r="AB25" i="8"/>
  <c r="AE23" i="8"/>
  <c r="AB21" i="8"/>
  <c r="V46" i="8"/>
  <c r="Z46" i="8" s="1"/>
  <c r="W44" i="8"/>
  <c r="AF47" i="8" s="1"/>
  <c r="X44" i="8"/>
  <c r="AF46" i="8" s="1"/>
  <c r="V44" i="8"/>
  <c r="AF48" i="8" s="1"/>
  <c r="X12" i="8"/>
  <c r="AF14" i="8" s="1"/>
  <c r="AP4" i="8" s="1"/>
  <c r="W12" i="8"/>
  <c r="AF15" i="8" s="1"/>
  <c r="AP5" i="8" s="1"/>
  <c r="V12" i="8"/>
  <c r="AF16" i="8" s="1"/>
  <c r="AP6" i="8" s="1"/>
  <c r="W47" i="8"/>
  <c r="AC44" i="8" s="1"/>
  <c r="X47" i="8"/>
  <c r="AB44" i="8" s="1"/>
  <c r="V47" i="8"/>
  <c r="AD44" i="8" s="1"/>
  <c r="X68" i="8"/>
  <c r="AF70" i="8" s="1"/>
  <c r="W68" i="8"/>
  <c r="AF71" i="8" s="1"/>
  <c r="V68" i="8"/>
  <c r="AF72" i="8" s="1"/>
  <c r="X71" i="8"/>
  <c r="AB68" i="8" s="1"/>
  <c r="V71" i="8"/>
  <c r="AD68" i="8" s="1"/>
  <c r="W71" i="8"/>
  <c r="AC68" i="8" s="1"/>
  <c r="W38" i="8"/>
  <c r="Z39" i="8" s="1"/>
  <c r="X38" i="8"/>
  <c r="Z40" i="8" s="1"/>
  <c r="V38" i="8"/>
  <c r="Z38" i="8" s="1"/>
  <c r="X7" i="8"/>
  <c r="AB4" i="8" s="1"/>
  <c r="W29" i="8"/>
  <c r="AC34" i="8" s="1"/>
  <c r="X29" i="8"/>
  <c r="AD34" i="8" s="1"/>
  <c r="V29" i="8"/>
  <c r="AB34" i="8" s="1"/>
  <c r="X102" i="8"/>
  <c r="Z104" i="8" s="1"/>
  <c r="W102" i="8"/>
  <c r="Z103" i="8" s="1"/>
  <c r="V102" i="8"/>
  <c r="Z102" i="8" s="1"/>
  <c r="W37" i="8"/>
  <c r="AC42" i="8" s="1"/>
  <c r="X37" i="8"/>
  <c r="AD42" i="8" s="1"/>
  <c r="X15" i="8"/>
  <c r="AB12" i="8" s="1"/>
  <c r="AJ3" i="8" s="1"/>
  <c r="V86" i="8"/>
  <c r="Z86" i="8" s="1"/>
  <c r="W86" i="8"/>
  <c r="Z87" i="8" s="1"/>
  <c r="X86" i="8"/>
  <c r="Z88" i="8" s="1"/>
  <c r="T14" i="8"/>
  <c r="W14" i="8" s="1"/>
  <c r="Z15" i="8" s="1"/>
  <c r="AE22" i="8"/>
  <c r="AA22" i="8"/>
  <c r="AJ8" i="8" s="1"/>
  <c r="AC21" i="8"/>
  <c r="AK7" i="8" s="1"/>
  <c r="AA24" i="8"/>
  <c r="AJ10" i="8" s="1"/>
  <c r="T28" i="8"/>
  <c r="W28" i="8" s="1"/>
  <c r="AF31" i="8" s="1"/>
  <c r="T29" i="8"/>
  <c r="T30" i="8"/>
  <c r="W30" i="8" s="1"/>
  <c r="Z31" i="8" s="1"/>
  <c r="T39" i="8"/>
  <c r="V39" i="8" s="1"/>
  <c r="AD36" i="8" s="1"/>
  <c r="T53" i="8"/>
  <c r="V53" i="8" s="1"/>
  <c r="AB58" i="8" s="1"/>
  <c r="P54" i="8"/>
  <c r="V61" i="8"/>
  <c r="AB66" i="8" s="1"/>
  <c r="P69" i="8"/>
  <c r="T76" i="8"/>
  <c r="X76" i="8" s="1"/>
  <c r="AF78" i="8" s="1"/>
  <c r="W108" i="8"/>
  <c r="AF111" i="8" s="1"/>
  <c r="V108" i="8"/>
  <c r="AF112" i="8" s="1"/>
  <c r="X61" i="8"/>
  <c r="AD66" i="8" s="1"/>
  <c r="AO25" i="8" s="1"/>
  <c r="V85" i="8"/>
  <c r="AB90" i="8" s="1"/>
  <c r="W85" i="8"/>
  <c r="AC90" i="8" s="1"/>
  <c r="X85" i="8"/>
  <c r="AD90" i="8" s="1"/>
  <c r="W95" i="8"/>
  <c r="AC92" i="8" s="1"/>
  <c r="AK28" i="8" s="1"/>
  <c r="V95" i="8"/>
  <c r="AD92" i="8" s="1"/>
  <c r="AL28" i="8" s="1"/>
  <c r="X95" i="8"/>
  <c r="AB92" i="8" s="1"/>
  <c r="AJ28" i="8" s="1"/>
  <c r="X119" i="8"/>
  <c r="AB116" i="8" s="1"/>
  <c r="V119" i="8"/>
  <c r="AD116" i="8" s="1"/>
  <c r="W119" i="8"/>
  <c r="AC116" i="8" s="1"/>
  <c r="X20" i="8"/>
  <c r="AF22" i="8" s="1"/>
  <c r="V20" i="8"/>
  <c r="AF24" i="8" s="1"/>
  <c r="P31" i="8"/>
  <c r="V37" i="8"/>
  <c r="AB42" i="8" s="1"/>
  <c r="P60" i="8"/>
  <c r="T62" i="8"/>
  <c r="X62" i="8" s="1"/>
  <c r="Z64" i="8" s="1"/>
  <c r="AI23" i="8" s="1"/>
  <c r="AD65" i="8"/>
  <c r="AO24" i="8" s="1"/>
  <c r="AA63" i="8"/>
  <c r="AJ22" i="8" s="1"/>
  <c r="AD61" i="8"/>
  <c r="AL20" i="8" s="1"/>
  <c r="V77" i="8"/>
  <c r="AB82" i="8" s="1"/>
  <c r="T78" i="8"/>
  <c r="X78" i="8" s="1"/>
  <c r="Z80" i="8" s="1"/>
  <c r="AE95" i="8"/>
  <c r="AL31" i="8" s="1"/>
  <c r="AB97" i="8"/>
  <c r="AB93" i="8"/>
  <c r="AJ29" i="8" s="1"/>
  <c r="W135" i="8"/>
  <c r="AC132" i="8" s="1"/>
  <c r="V135" i="8"/>
  <c r="AD132" i="8" s="1"/>
  <c r="X135" i="8"/>
  <c r="AB132" i="8" s="1"/>
  <c r="V141" i="8"/>
  <c r="AB146" i="8" s="1"/>
  <c r="W141" i="8"/>
  <c r="AC146" i="8" s="1"/>
  <c r="X141" i="8"/>
  <c r="AD146" i="8" s="1"/>
  <c r="Y220" i="8"/>
  <c r="AL227" i="8" s="1"/>
  <c r="X220" i="8"/>
  <c r="AK227" i="8" s="1"/>
  <c r="W220" i="8"/>
  <c r="AJ227" i="8" s="1"/>
  <c r="V220" i="8"/>
  <c r="Z220" i="8"/>
  <c r="AM227" i="8" s="1"/>
  <c r="U220" i="8"/>
  <c r="AN227" i="8" s="1"/>
  <c r="X77" i="8"/>
  <c r="AD82" i="8" s="1"/>
  <c r="X124" i="8"/>
  <c r="AF126" i="8" s="1"/>
  <c r="W124" i="8"/>
  <c r="AF127" i="8" s="1"/>
  <c r="V124" i="8"/>
  <c r="AF128" i="8" s="1"/>
  <c r="X127" i="8"/>
  <c r="AB124" i="8" s="1"/>
  <c r="W127" i="8"/>
  <c r="AC124" i="8" s="1"/>
  <c r="V127" i="8"/>
  <c r="AD124" i="8" s="1"/>
  <c r="V55" i="8"/>
  <c r="AD52" i="8" s="1"/>
  <c r="W55" i="8"/>
  <c r="AC52" i="8" s="1"/>
  <c r="X158" i="8"/>
  <c r="Z160" i="8" s="1"/>
  <c r="W158" i="8"/>
  <c r="Z159" i="8" s="1"/>
  <c r="V158" i="8"/>
  <c r="Z158" i="8" s="1"/>
  <c r="W46" i="8"/>
  <c r="Z47" i="8" s="1"/>
  <c r="X70" i="8"/>
  <c r="Z72" i="8" s="1"/>
  <c r="V70" i="8"/>
  <c r="Z70" i="8" s="1"/>
  <c r="T46" i="8"/>
  <c r="X46" i="8" s="1"/>
  <c r="Z48" i="8" s="1"/>
  <c r="P52" i="8"/>
  <c r="X53" i="8"/>
  <c r="AD58" i="8" s="1"/>
  <c r="P63" i="8"/>
  <c r="W70" i="8"/>
  <c r="Z71" i="8" s="1"/>
  <c r="X87" i="8"/>
  <c r="AB84" i="8" s="1"/>
  <c r="V87" i="8"/>
  <c r="AD84" i="8" s="1"/>
  <c r="W87" i="8"/>
  <c r="AC84" i="8" s="1"/>
  <c r="X92" i="8"/>
  <c r="AF94" i="8" s="1"/>
  <c r="V92" i="8"/>
  <c r="AF96" i="8" s="1"/>
  <c r="AM32" i="8" s="1"/>
  <c r="W92" i="8"/>
  <c r="AF95" i="8" s="1"/>
  <c r="AM31" i="8" s="1"/>
  <c r="X94" i="8"/>
  <c r="Z96" i="8" s="1"/>
  <c r="AI36" i="8" s="1"/>
  <c r="V94" i="8"/>
  <c r="Z94" i="8" s="1"/>
  <c r="X101" i="8"/>
  <c r="AD106" i="8" s="1"/>
  <c r="W101" i="8"/>
  <c r="AC106" i="8" s="1"/>
  <c r="V101" i="8"/>
  <c r="AB106" i="8" s="1"/>
  <c r="X108" i="8"/>
  <c r="AF110" i="8" s="1"/>
  <c r="V117" i="8"/>
  <c r="AB122" i="8" s="1"/>
  <c r="W117" i="8"/>
  <c r="AC122" i="8" s="1"/>
  <c r="X117" i="8"/>
  <c r="AD122" i="8" s="1"/>
  <c r="P84" i="8"/>
  <c r="AE96" i="8"/>
  <c r="AL32" i="8" s="1"/>
  <c r="AA96" i="8"/>
  <c r="AJ36" i="8" s="1"/>
  <c r="AC93" i="8"/>
  <c r="AK29" i="8" s="1"/>
  <c r="V118" i="8"/>
  <c r="Z118" i="8" s="1"/>
  <c r="W118" i="8"/>
  <c r="Z119" i="8" s="1"/>
  <c r="X134" i="8"/>
  <c r="Z136" i="8" s="1"/>
  <c r="X173" i="8"/>
  <c r="AD178" i="8" s="1"/>
  <c r="W173" i="8"/>
  <c r="AC178" i="8" s="1"/>
  <c r="V173" i="8"/>
  <c r="AB178" i="8" s="1"/>
  <c r="W210" i="8"/>
  <c r="AC206" i="8" s="1"/>
  <c r="U210" i="8"/>
  <c r="AE206" i="8" s="1"/>
  <c r="S222" i="8"/>
  <c r="Y224" i="8"/>
  <c r="AJ219" i="8" s="1"/>
  <c r="X224" i="8"/>
  <c r="AK219" i="8" s="1"/>
  <c r="W224" i="8"/>
  <c r="AL219" i="8" s="1"/>
  <c r="V224" i="8"/>
  <c r="AM219" i="8" s="1"/>
  <c r="U224" i="8"/>
  <c r="AN219" i="8" s="1"/>
  <c r="Z224" i="8"/>
  <c r="T100" i="8"/>
  <c r="W100" i="8" s="1"/>
  <c r="AF103" i="8" s="1"/>
  <c r="T103" i="8"/>
  <c r="W103" i="8" s="1"/>
  <c r="AC100" i="8" s="1"/>
  <c r="T110" i="8"/>
  <c r="T126" i="8"/>
  <c r="W126" i="8" s="1"/>
  <c r="Z127" i="8" s="1"/>
  <c r="P132" i="8"/>
  <c r="W133" i="8"/>
  <c r="AC138" i="8" s="1"/>
  <c r="X133" i="8"/>
  <c r="AD138" i="8" s="1"/>
  <c r="V183" i="8"/>
  <c r="AC180" i="8" s="1"/>
  <c r="W206" i="8"/>
  <c r="AM209" i="8" s="1"/>
  <c r="AR31" i="8" s="1"/>
  <c r="V206" i="8"/>
  <c r="AM210" i="8" s="1"/>
  <c r="U206" i="8"/>
  <c r="AM211" i="8" s="1"/>
  <c r="AR32" i="8" s="1"/>
  <c r="T206" i="8"/>
  <c r="X206" i="8"/>
  <c r="AM208" i="8" s="1"/>
  <c r="AR30" i="8" s="1"/>
  <c r="X125" i="8"/>
  <c r="AD130" i="8" s="1"/>
  <c r="V125" i="8"/>
  <c r="AB130" i="8" s="1"/>
  <c r="U197" i="8"/>
  <c r="AJ193" i="8" s="1"/>
  <c r="AO14" i="8" s="1"/>
  <c r="T197" i="8"/>
  <c r="AK193" i="8" s="1"/>
  <c r="W93" i="8"/>
  <c r="AC98" i="8" s="1"/>
  <c r="V93" i="8"/>
  <c r="AB98" i="8" s="1"/>
  <c r="X93" i="8"/>
  <c r="AD98" i="8" s="1"/>
  <c r="W109" i="8"/>
  <c r="AC114" i="8" s="1"/>
  <c r="V109" i="8"/>
  <c r="AB114" i="8" s="1"/>
  <c r="X109" i="8"/>
  <c r="AD114" i="8" s="1"/>
  <c r="W125" i="8"/>
  <c r="AC130" i="8" s="1"/>
  <c r="V140" i="8"/>
  <c r="AF144" i="8" s="1"/>
  <c r="W140" i="8"/>
  <c r="AF143" i="8" s="1"/>
  <c r="T181" i="8"/>
  <c r="AF187" i="8" s="1"/>
  <c r="X181" i="8"/>
  <c r="AE187" i="8" s="1"/>
  <c r="W181" i="8"/>
  <c r="AD187" i="8" s="1"/>
  <c r="U181" i="8"/>
  <c r="V181" i="8"/>
  <c r="AC187" i="8" s="1"/>
  <c r="V194" i="8"/>
  <c r="AC200" i="8" s="1"/>
  <c r="AM21" i="8" s="1"/>
  <c r="W208" i="8"/>
  <c r="AC213" i="8" s="1"/>
  <c r="AJ39" i="8" s="1"/>
  <c r="V208" i="8"/>
  <c r="U208" i="8"/>
  <c r="AF213" i="8" s="1"/>
  <c r="AM39" i="8" s="1"/>
  <c r="T208" i="8"/>
  <c r="AE213" i="8" s="1"/>
  <c r="AL39" i="8" s="1"/>
  <c r="X208" i="8"/>
  <c r="AD213" i="8" s="1"/>
  <c r="AK39" i="8" s="1"/>
  <c r="AC61" i="8"/>
  <c r="AK20" i="8" s="1"/>
  <c r="T79" i="8"/>
  <c r="X79" i="8" s="1"/>
  <c r="AB76" i="8" s="1"/>
  <c r="X100" i="8"/>
  <c r="AF102" i="8" s="1"/>
  <c r="X103" i="8"/>
  <c r="AB100" i="8" s="1"/>
  <c r="V103" i="8"/>
  <c r="AD100" i="8" s="1"/>
  <c r="P110" i="8"/>
  <c r="W111" i="8"/>
  <c r="AC108" i="8" s="1"/>
  <c r="X111" i="8"/>
  <c r="AB108" i="8" s="1"/>
  <c r="P116" i="8"/>
  <c r="V126" i="8"/>
  <c r="Z126" i="8" s="1"/>
  <c r="T132" i="8"/>
  <c r="V134" i="8"/>
  <c r="Z134" i="8" s="1"/>
  <c r="X140" i="8"/>
  <c r="AF142" i="8" s="1"/>
  <c r="X157" i="8"/>
  <c r="AD162" i="8" s="1"/>
  <c r="W157" i="8"/>
  <c r="AC162" i="8" s="1"/>
  <c r="V157" i="8"/>
  <c r="AB162" i="8" s="1"/>
  <c r="V210" i="8"/>
  <c r="AD206" i="8" s="1"/>
  <c r="S219" i="8"/>
  <c r="X149" i="8"/>
  <c r="AD154" i="8" s="1"/>
  <c r="W149" i="8"/>
  <c r="AC154" i="8" s="1"/>
  <c r="P151" i="8"/>
  <c r="T159" i="8"/>
  <c r="W159" i="8" s="1"/>
  <c r="AC156" i="8" s="1"/>
  <c r="X172" i="8"/>
  <c r="AF174" i="8" s="1"/>
  <c r="W172" i="8"/>
  <c r="AF175" i="8" s="1"/>
  <c r="R193" i="8"/>
  <c r="R195" i="8"/>
  <c r="R199" i="8"/>
  <c r="R201" i="8"/>
  <c r="R202" i="8"/>
  <c r="R203" i="8"/>
  <c r="W197" i="8" s="1"/>
  <c r="AH193" i="8" s="1"/>
  <c r="AM14" i="8" s="1"/>
  <c r="R215" i="8"/>
  <c r="R216" i="8"/>
  <c r="T210" i="8" s="1"/>
  <c r="AF206" i="8" s="1"/>
  <c r="S221" i="8"/>
  <c r="P143" i="8"/>
  <c r="W156" i="8"/>
  <c r="AF159" i="8" s="1"/>
  <c r="V156" i="8"/>
  <c r="AF160" i="8" s="1"/>
  <c r="T164" i="8"/>
  <c r="P165" i="8"/>
  <c r="R209" i="8"/>
  <c r="R213" i="8"/>
  <c r="U207" i="8" s="1"/>
  <c r="S229" i="8"/>
  <c r="X174" i="8"/>
  <c r="Z176" i="8" s="1"/>
  <c r="W174" i="8"/>
  <c r="Z175" i="8" s="1"/>
  <c r="V174" i="8"/>
  <c r="Z174" i="8" s="1"/>
  <c r="T180" i="8"/>
  <c r="X183" i="8"/>
  <c r="AF180" i="8" s="1"/>
  <c r="T194" i="8"/>
  <c r="AF200" i="8" s="1"/>
  <c r="X194" i="8"/>
  <c r="AE200" i="8" s="1"/>
  <c r="AO21" i="8" s="1"/>
  <c r="W194" i="8"/>
  <c r="AD200" i="8" s="1"/>
  <c r="AN21" i="8" s="1"/>
  <c r="M246" i="8"/>
  <c r="K246" i="8" s="1"/>
  <c r="I246" i="8" s="1"/>
  <c r="G246" i="8" s="1"/>
  <c r="E246" i="8" s="1"/>
  <c r="Q245" i="8"/>
  <c r="O245" i="8" s="1"/>
  <c r="M245" i="8" s="1"/>
  <c r="K245" i="8" s="1"/>
  <c r="I245" i="8" s="1"/>
  <c r="G245" i="8" s="1"/>
  <c r="E245" i="8" s="1"/>
  <c r="P142" i="8"/>
  <c r="X150" i="8"/>
  <c r="Z152" i="8" s="1"/>
  <c r="W150" i="8"/>
  <c r="Z151" i="8" s="1"/>
  <c r="P166" i="8"/>
  <c r="X175" i="8"/>
  <c r="AB172" i="8" s="1"/>
  <c r="W175" i="8"/>
  <c r="AC172" i="8" s="1"/>
  <c r="R200" i="8"/>
  <c r="U194" i="8" s="1"/>
  <c r="AC225" i="8"/>
  <c r="P148" i="8"/>
  <c r="V149" i="8"/>
  <c r="AB154" i="8" s="1"/>
  <c r="T156" i="8"/>
  <c r="X156" i="8" s="1"/>
  <c r="AF158" i="8" s="1"/>
  <c r="T167" i="8"/>
  <c r="V172" i="8"/>
  <c r="AF176" i="8" s="1"/>
  <c r="R186" i="8"/>
  <c r="V180" i="8" s="1"/>
  <c r="AM184" i="8" s="1"/>
  <c r="R188" i="8"/>
  <c r="X182" i="8" s="1"/>
  <c r="AA183" i="8" s="1"/>
  <c r="R189" i="8"/>
  <c r="U183" i="8" s="1"/>
  <c r="AD180" i="8" s="1"/>
  <c r="R190" i="8"/>
  <c r="X184" i="8" s="1"/>
  <c r="R196" i="8"/>
  <c r="W207" i="8"/>
  <c r="AI213" i="8" s="1"/>
  <c r="AO39" i="8" s="1"/>
  <c r="S223" i="8"/>
  <c r="AO224" i="8"/>
  <c r="AL220" i="8"/>
  <c r="AE220" i="8"/>
  <c r="Q237" i="8"/>
  <c r="O237" i="8" s="1"/>
  <c r="M237" i="8" s="1"/>
  <c r="K237" i="8" s="1"/>
  <c r="I237" i="8" s="1"/>
  <c r="G237" i="8" s="1"/>
  <c r="E237" i="8" s="1"/>
  <c r="Y238" i="8"/>
  <c r="AE226" i="8"/>
  <c r="AL226" i="8"/>
  <c r="AO225" i="8"/>
  <c r="AF226" i="8"/>
  <c r="AM226" i="8"/>
  <c r="AG226" i="8"/>
  <c r="Q238" i="8"/>
  <c r="O238" i="8" s="1"/>
  <c r="M238" i="8" s="1"/>
  <c r="K238" i="8" s="1"/>
  <c r="I238" i="8" s="1"/>
  <c r="G238" i="8" s="1"/>
  <c r="E238" i="8" s="1"/>
  <c r="V207" i="8" l="1"/>
  <c r="AH213" i="8" s="1"/>
  <c r="X209" i="8"/>
  <c r="AA208" i="8" s="1"/>
  <c r="AM34" i="8" s="1"/>
  <c r="W209" i="8"/>
  <c r="V209" i="8"/>
  <c r="AA211" i="8" s="1"/>
  <c r="U209" i="8"/>
  <c r="AA210" i="8" s="1"/>
  <c r="AM36" i="8" s="1"/>
  <c r="T209" i="8"/>
  <c r="AA209" i="8" s="1"/>
  <c r="AM35" i="8" s="1"/>
  <c r="V60" i="8"/>
  <c r="AF64" i="8" s="1"/>
  <c r="W60" i="8"/>
  <c r="AF63" i="8" s="1"/>
  <c r="X60" i="8"/>
  <c r="AF62" i="8" s="1"/>
  <c r="V184" i="8"/>
  <c r="AI180" i="8" s="1"/>
  <c r="W180" i="8"/>
  <c r="AM183" i="8" s="1"/>
  <c r="W164" i="8"/>
  <c r="AF167" i="8" s="1"/>
  <c r="X164" i="8"/>
  <c r="AF166" i="8" s="1"/>
  <c r="V193" i="8"/>
  <c r="AM197" i="8" s="1"/>
  <c r="AQ18" i="8" s="1"/>
  <c r="U193" i="8"/>
  <c r="AM198" i="8" s="1"/>
  <c r="AQ19" i="8" s="1"/>
  <c r="T193" i="8"/>
  <c r="W193" i="8"/>
  <c r="AM196" i="8" s="1"/>
  <c r="AQ17" i="8" s="1"/>
  <c r="X193" i="8"/>
  <c r="AM195" i="8" s="1"/>
  <c r="AQ16" i="8" s="1"/>
  <c r="X197" i="8"/>
  <c r="X39" i="8"/>
  <c r="AB36" i="8" s="1"/>
  <c r="W78" i="8"/>
  <c r="Z79" i="8" s="1"/>
  <c r="V79" i="8"/>
  <c r="AD76" i="8" s="1"/>
  <c r="V62" i="8"/>
  <c r="Z62" i="8" s="1"/>
  <c r="AI21" i="8" s="1"/>
  <c r="W76" i="8"/>
  <c r="AF79" i="8" s="1"/>
  <c r="W132" i="8"/>
  <c r="AF135" i="8" s="1"/>
  <c r="V132" i="8"/>
  <c r="AF136" i="8" s="1"/>
  <c r="X132" i="8"/>
  <c r="AF134" i="8" s="1"/>
  <c r="X167" i="8"/>
  <c r="AB164" i="8" s="1"/>
  <c r="W167" i="8"/>
  <c r="AC164" i="8" s="1"/>
  <c r="V182" i="8"/>
  <c r="Z223" i="8"/>
  <c r="Y223" i="8"/>
  <c r="AB221" i="8" s="1"/>
  <c r="X223" i="8"/>
  <c r="AD219" i="8" s="1"/>
  <c r="W223" i="8"/>
  <c r="U223" i="8"/>
  <c r="V223" i="8"/>
  <c r="W184" i="8"/>
  <c r="AH180" i="8" s="1"/>
  <c r="X148" i="8"/>
  <c r="AF150" i="8" s="1"/>
  <c r="W148" i="8"/>
  <c r="AF151" i="8" s="1"/>
  <c r="V148" i="8"/>
  <c r="AF152" i="8" s="1"/>
  <c r="X166" i="8"/>
  <c r="Z168" i="8" s="1"/>
  <c r="W166" i="8"/>
  <c r="Z167" i="8" s="1"/>
  <c r="V166" i="8"/>
  <c r="Z166" i="8" s="1"/>
  <c r="T183" i="8"/>
  <c r="AE180" i="8" s="1"/>
  <c r="X180" i="8"/>
  <c r="AM182" i="8" s="1"/>
  <c r="X219" i="8"/>
  <c r="AP223" i="8" s="1"/>
  <c r="W219" i="8"/>
  <c r="AP224" i="8" s="1"/>
  <c r="V219" i="8"/>
  <c r="AP225" i="8" s="1"/>
  <c r="U219" i="8"/>
  <c r="Z219" i="8"/>
  <c r="AP221" i="8" s="1"/>
  <c r="Y219" i="8"/>
  <c r="AP222" i="8" s="1"/>
  <c r="Y222" i="8"/>
  <c r="X222" i="8"/>
  <c r="W222" i="8"/>
  <c r="V222" i="8"/>
  <c r="Z222" i="8"/>
  <c r="U222" i="8"/>
  <c r="W53" i="8"/>
  <c r="AC58" i="8" s="1"/>
  <c r="V54" i="8"/>
  <c r="Z54" i="8" s="1"/>
  <c r="X54" i="8"/>
  <c r="Z56" i="8" s="1"/>
  <c r="W54" i="8"/>
  <c r="Z55" i="8" s="1"/>
  <c r="W79" i="8"/>
  <c r="AC76" i="8" s="1"/>
  <c r="W62" i="8"/>
  <c r="Z63" i="8" s="1"/>
  <c r="AI22" i="8" s="1"/>
  <c r="W39" i="8"/>
  <c r="AC36" i="8" s="1"/>
  <c r="X14" i="8"/>
  <c r="Z16" i="8" s="1"/>
  <c r="W63" i="8"/>
  <c r="AC60" i="8" s="1"/>
  <c r="AK19" i="8" s="1"/>
  <c r="X63" i="8"/>
  <c r="AB60" i="8" s="1"/>
  <c r="V63" i="8"/>
  <c r="AD60" i="8" s="1"/>
  <c r="AL19" i="8" s="1"/>
  <c r="U182" i="8"/>
  <c r="AA185" i="8" s="1"/>
  <c r="W110" i="8"/>
  <c r="Z111" i="8" s="1"/>
  <c r="V110" i="8"/>
  <c r="Z110" i="8" s="1"/>
  <c r="X110" i="8"/>
  <c r="Z112" i="8" s="1"/>
  <c r="X207" i="8"/>
  <c r="AJ213" i="8" s="1"/>
  <c r="AP39" i="8" s="1"/>
  <c r="U180" i="8"/>
  <c r="AM185" i="8" s="1"/>
  <c r="X84" i="8"/>
  <c r="AF86" i="8" s="1"/>
  <c r="V84" i="8"/>
  <c r="AF88" i="8" s="1"/>
  <c r="W84" i="8"/>
  <c r="AF87" i="8" s="1"/>
  <c r="V78" i="8"/>
  <c r="Z78" i="8" s="1"/>
  <c r="T207" i="8"/>
  <c r="AK213" i="8" s="1"/>
  <c r="AQ39" i="8" s="1"/>
  <c r="T184" i="8"/>
  <c r="AK180" i="8" s="1"/>
  <c r="V164" i="8"/>
  <c r="AF168" i="8" s="1"/>
  <c r="V142" i="8"/>
  <c r="Z142" i="8" s="1"/>
  <c r="W142" i="8"/>
  <c r="Z143" i="8" s="1"/>
  <c r="X142" i="8"/>
  <c r="Z144" i="8" s="1"/>
  <c r="W182" i="8"/>
  <c r="AA182" i="8" s="1"/>
  <c r="V167" i="8"/>
  <c r="AD164" i="8" s="1"/>
  <c r="Z221" i="8"/>
  <c r="AF227" i="8" s="1"/>
  <c r="Y221" i="8"/>
  <c r="AE227" i="8" s="1"/>
  <c r="X221" i="8"/>
  <c r="AD227" i="8" s="1"/>
  <c r="W221" i="8"/>
  <c r="U221" i="8"/>
  <c r="AG227" i="8" s="1"/>
  <c r="V221" i="8"/>
  <c r="AH227" i="8" s="1"/>
  <c r="X151" i="8"/>
  <c r="AB148" i="8" s="1"/>
  <c r="W151" i="8"/>
  <c r="AC148" i="8" s="1"/>
  <c r="V151" i="8"/>
  <c r="AD148" i="8" s="1"/>
  <c r="X126" i="8"/>
  <c r="Z128" i="8" s="1"/>
  <c r="T182" i="8"/>
  <c r="AA184" i="8" s="1"/>
  <c r="V197" i="8"/>
  <c r="AI193" i="8" s="1"/>
  <c r="AN14" i="8" s="1"/>
  <c r="V159" i="8"/>
  <c r="AD156" i="8" s="1"/>
  <c r="X210" i="8"/>
  <c r="V52" i="8"/>
  <c r="AF56" i="8" s="1"/>
  <c r="W52" i="8"/>
  <c r="AF55" i="8" s="1"/>
  <c r="X52" i="8"/>
  <c r="AF54" i="8" s="1"/>
  <c r="X30" i="8"/>
  <c r="Z32" i="8" s="1"/>
  <c r="V76" i="8"/>
  <c r="AF80" i="8" s="1"/>
  <c r="X28" i="8"/>
  <c r="AF30" i="8" s="1"/>
  <c r="W143" i="8"/>
  <c r="AC140" i="8" s="1"/>
  <c r="V143" i="8"/>
  <c r="AD140" i="8" s="1"/>
  <c r="X143" i="8"/>
  <c r="AB140" i="8" s="1"/>
  <c r="X159" i="8"/>
  <c r="AB156" i="8" s="1"/>
  <c r="U196" i="8"/>
  <c r="AD193" i="8" s="1"/>
  <c r="AK14" i="8" s="1"/>
  <c r="T196" i="8"/>
  <c r="AE193" i="8" s="1"/>
  <c r="X196" i="8"/>
  <c r="AF193" i="8" s="1"/>
  <c r="W196" i="8"/>
  <c r="V196" i="8"/>
  <c r="AC193" i="8" s="1"/>
  <c r="AJ14" i="8" s="1"/>
  <c r="U184" i="8"/>
  <c r="AJ180" i="8" s="1"/>
  <c r="W183" i="8"/>
  <c r="X165" i="8"/>
  <c r="AD170" i="8" s="1"/>
  <c r="W165" i="8"/>
  <c r="AC170" i="8" s="1"/>
  <c r="V165" i="8"/>
  <c r="AB170" i="8" s="1"/>
  <c r="T195" i="8"/>
  <c r="AA197" i="8" s="1"/>
  <c r="X195" i="8"/>
  <c r="AA196" i="8" s="1"/>
  <c r="W195" i="8"/>
  <c r="AA195" i="8" s="1"/>
  <c r="U195" i="8"/>
  <c r="AA198" i="8" s="1"/>
  <c r="V195" i="8"/>
  <c r="X116" i="8"/>
  <c r="AF118" i="8" s="1"/>
  <c r="V116" i="8"/>
  <c r="AF120" i="8" s="1"/>
  <c r="W116" i="8"/>
  <c r="AF119" i="8" s="1"/>
  <c r="V100" i="8"/>
  <c r="AF104" i="8" s="1"/>
  <c r="X31" i="8"/>
  <c r="AB28" i="8" s="1"/>
  <c r="V31" i="8"/>
  <c r="AD28" i="8" s="1"/>
  <c r="W31" i="8"/>
  <c r="AC28" i="8" s="1"/>
  <c r="X69" i="8"/>
  <c r="AD74" i="8" s="1"/>
  <c r="V69" i="8"/>
  <c r="AB74" i="8" s="1"/>
  <c r="W69" i="8"/>
  <c r="AC74" i="8" s="1"/>
  <c r="AF219" i="8" l="1"/>
  <c r="AB224" i="8"/>
  <c r="AG219" i="8"/>
  <c r="AB223" i="8"/>
  <c r="AB225" i="8"/>
  <c r="AE219" i="8"/>
  <c r="AH219" i="8"/>
  <c r="AB222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<sst xmlns="http://schemas.openxmlformats.org/spreadsheetml/2006/main" count="1026" uniqueCount="362">
  <si>
    <t>路段範圍</t>
    <phoneticPr fontId="1" type="noConversion"/>
  </si>
  <si>
    <t>方向</t>
  </si>
  <si>
    <t>V/C</t>
  </si>
  <si>
    <t>服務水準</t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</si>
  <si>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</si>
  <si>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</si>
  <si>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</si>
  <si>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</si>
  <si>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</si>
  <si>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</si>
  <si>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速率速限比值</t>
    <phoneticPr fontId="1" type="noConversion"/>
  </si>
  <si>
    <t>&lt;0.2</t>
    <phoneticPr fontId="1" type="noConversion"/>
  </si>
  <si>
    <t>道路容量</t>
    <phoneticPr fontId="1" type="noConversion"/>
  </si>
  <si>
    <t>車道數</t>
    <phoneticPr fontId="1" type="noConversion"/>
  </si>
  <si>
    <t>↗</t>
  </si>
  <si>
    <t>↘</t>
  </si>
  <si>
    <t>↙</t>
  </si>
  <si>
    <t>↖</t>
  </si>
  <si>
    <t>大園A北出</t>
    <phoneticPr fontId="1" type="noConversion"/>
  </si>
  <si>
    <t>永安北出</t>
    <phoneticPr fontId="1" type="noConversion"/>
  </si>
  <si>
    <t>永安北入</t>
    <phoneticPr fontId="1" type="noConversion"/>
  </si>
  <si>
    <t>觀音北出</t>
    <phoneticPr fontId="1" type="noConversion"/>
  </si>
  <si>
    <t>觀音北入</t>
    <phoneticPr fontId="1" type="noConversion"/>
  </si>
  <si>
    <t>桃科北入</t>
    <phoneticPr fontId="1" type="noConversion"/>
  </si>
  <si>
    <t>草漯北出</t>
    <phoneticPr fontId="1" type="noConversion"/>
  </si>
  <si>
    <t>草漯北入</t>
    <phoneticPr fontId="1" type="noConversion"/>
  </si>
  <si>
    <t>大園B北出</t>
    <phoneticPr fontId="1" type="noConversion"/>
  </si>
  <si>
    <t>永安南入</t>
    <phoneticPr fontId="1" type="noConversion"/>
  </si>
  <si>
    <t>永安南出</t>
    <phoneticPr fontId="1" type="noConversion"/>
  </si>
  <si>
    <t>觀音南入</t>
    <phoneticPr fontId="1" type="noConversion"/>
  </si>
  <si>
    <t>觀音南出</t>
    <phoneticPr fontId="1" type="noConversion"/>
  </si>
  <si>
    <t>桃科南出</t>
    <phoneticPr fontId="1" type="noConversion"/>
  </si>
  <si>
    <t>草漯南入</t>
    <phoneticPr fontId="1" type="noConversion"/>
  </si>
  <si>
    <t>草漯南出</t>
    <phoneticPr fontId="1" type="noConversion"/>
  </si>
  <si>
    <t>大園B南入</t>
    <phoneticPr fontId="1" type="noConversion"/>
  </si>
  <si>
    <t>大園A南入</t>
    <phoneticPr fontId="1" type="noConversion"/>
  </si>
  <si>
    <t>大園南出</t>
    <phoneticPr fontId="1" type="noConversion"/>
  </si>
  <si>
    <t>大園北入</t>
    <phoneticPr fontId="1" type="noConversion"/>
  </si>
  <si>
    <t>↓</t>
  </si>
  <si>
    <t>↑</t>
  </si>
  <si>
    <t>往東</t>
  </si>
  <si>
    <t>往西</t>
  </si>
  <si>
    <t>往北</t>
  </si>
  <si>
    <t>往南</t>
  </si>
  <si>
    <t>基年</t>
    <phoneticPr fontId="1" type="noConversion"/>
  </si>
  <si>
    <t>目標年</t>
    <phoneticPr fontId="1" type="noConversion"/>
  </si>
  <si>
    <t>現況</t>
    <phoneticPr fontId="19" type="noConversion"/>
  </si>
  <si>
    <t>年</t>
    <phoneticPr fontId="19" type="noConversion"/>
  </si>
  <si>
    <t>目標年</t>
    <phoneticPr fontId="19" type="noConversion"/>
  </si>
  <si>
    <t>年成長率</t>
    <phoneticPr fontId="19" type="noConversion"/>
  </si>
  <si>
    <t>台61/許厝港路</t>
  </si>
  <si>
    <t>選用</t>
    <phoneticPr fontId="1" type="noConversion"/>
  </si>
  <si>
    <t>→</t>
  </si>
  <si>
    <t>←</t>
  </si>
  <si>
    <t>台61/台66(北側)</t>
  </si>
  <si>
    <t>台61/台66(南側)</t>
    <phoneticPr fontId="1" type="noConversion"/>
  </si>
  <si>
    <t>台15/市道112</t>
    <phoneticPr fontId="1" type="noConversion"/>
  </si>
  <si>
    <t>台15/市道115</t>
    <phoneticPr fontId="1" type="noConversion"/>
  </si>
  <si>
    <t>台15/桃35</t>
    <phoneticPr fontId="1" type="noConversion"/>
  </si>
  <si>
    <t>桃31/桃33</t>
    <phoneticPr fontId="1" type="noConversion"/>
  </si>
  <si>
    <t>台66/市道115(南側)</t>
    <phoneticPr fontId="1" type="noConversion"/>
  </si>
  <si>
    <t>台31/市道112</t>
    <phoneticPr fontId="1" type="noConversion"/>
  </si>
  <si>
    <t>市道114/市道115</t>
  </si>
  <si>
    <t>台66/市道114(西側)</t>
  </si>
  <si>
    <t>台31/市道114</t>
  </si>
  <si>
    <t>台31/市道115</t>
  </si>
  <si>
    <t>市道115/桃110</t>
  </si>
  <si>
    <t>台1/台31</t>
  </si>
  <si>
    <t>台1/市道115</t>
  </si>
  <si>
    <t>台61/市道114(西側)</t>
  </si>
  <si>
    <t>台61/市道114(東側)</t>
  </si>
  <si>
    <t>台15/市道114</t>
  </si>
  <si>
    <t>市道114/桃93/桃104</t>
  </si>
  <si>
    <t>桃106/桃109</t>
  </si>
  <si>
    <t>(台61)西濱路三段</t>
  </si>
  <si>
    <t>許厝港路</t>
  </si>
  <si>
    <t>西濱路三段</t>
  </si>
  <si>
    <t>無</t>
  </si>
  <si>
    <t>台61</t>
  </si>
  <si>
    <t>台66</t>
  </si>
  <si>
    <t>(台15)大觀路四段</t>
  </si>
  <si>
    <t>(市道112)中山路一段</t>
  </si>
  <si>
    <t>濱海路廣興段</t>
  </si>
  <si>
    <t>中山路一段</t>
  </si>
  <si>
    <t>(台15)濱海路廣興段</t>
  </si>
  <si>
    <t>(市道115)文化路</t>
  </si>
  <si>
    <t>濱海路武威段</t>
  </si>
  <si>
    <t>文化路</t>
  </si>
  <si>
    <t>(台15)大觀路二段</t>
  </si>
  <si>
    <t>(桃35)新生路</t>
  </si>
  <si>
    <t>大觀路二段</t>
  </si>
  <si>
    <t>大觀路二段100巷</t>
  </si>
  <si>
    <t>(桃31)潮音二路</t>
  </si>
  <si>
    <t>(桃33)潮音一路</t>
  </si>
  <si>
    <t>桃31</t>
  </si>
  <si>
    <t>(桃33)保障一路</t>
  </si>
  <si>
    <t>(市道115)文化路石橋段</t>
  </si>
  <si>
    <t>文化路石橋段</t>
  </si>
  <si>
    <t>(桃84)新華路二段</t>
  </si>
  <si>
    <t>(市道112)環中路</t>
  </si>
  <si>
    <t>新華街二段</t>
  </si>
  <si>
    <t>環中路</t>
  </si>
  <si>
    <t>市道112/桃84</t>
  </si>
  <si>
    <t>(台31)高鐵南路三段</t>
  </si>
  <si>
    <t>(市道112)中正路三段</t>
  </si>
  <si>
    <t>高鐵南路四段</t>
  </si>
  <si>
    <t>中正路三段</t>
  </si>
  <si>
    <t>(市道114)中山路</t>
  </si>
  <si>
    <t>(市道115)中華路</t>
  </si>
  <si>
    <t>中山路</t>
  </si>
  <si>
    <t>中華路</t>
  </si>
  <si>
    <t>(市道114)中山東路二段</t>
  </si>
  <si>
    <t>台66(東入)</t>
  </si>
  <si>
    <t>中山東路二段</t>
  </si>
  <si>
    <t>台66(東出)</t>
  </si>
  <si>
    <t>(台31)高鐵南路五段</t>
  </si>
  <si>
    <t>(市道114)民族路六段</t>
  </si>
  <si>
    <t>高鐵南路六段</t>
  </si>
  <si>
    <t>民族路六段</t>
  </si>
  <si>
    <t>(台31)高鐵南路七段</t>
  </si>
  <si>
    <t>(市道115)楊新路四段</t>
  </si>
  <si>
    <t>高鐵南路七段</t>
  </si>
  <si>
    <t>楊新路四段</t>
  </si>
  <si>
    <t>水美國小出入口</t>
  </si>
  <si>
    <t>(市道115)楊新路一段</t>
  </si>
  <si>
    <t>(桃110)民富路一段</t>
  </si>
  <si>
    <t>楊新路二段</t>
  </si>
  <si>
    <t>(台1)八德路二段</t>
  </si>
  <si>
    <t>八德路二段</t>
  </si>
  <si>
    <t>台31</t>
  </si>
  <si>
    <t>(台1)中山路</t>
  </si>
  <si>
    <t>中山路125巷</t>
  </si>
  <si>
    <t>(市道115)大成路</t>
  </si>
  <si>
    <t>(市道114)中山西路三段</t>
  </si>
  <si>
    <t>台61(西側)</t>
  </si>
  <si>
    <t>中山西路三段</t>
  </si>
  <si>
    <t>台61(東側)</t>
  </si>
  <si>
    <t>(台15)文化路二段</t>
  </si>
  <si>
    <t>文化路三段</t>
  </si>
  <si>
    <t>(市道114)中山西路一段</t>
  </si>
  <si>
    <t>(桃104)東福路</t>
  </si>
  <si>
    <t>中山西路一段</t>
  </si>
  <si>
    <t>(桃93)東興路一段</t>
  </si>
  <si>
    <t>(桃106)民有路二段</t>
  </si>
  <si>
    <t>(桃109)民生街</t>
  </si>
  <si>
    <t>民有一路</t>
  </si>
  <si>
    <t>中興路</t>
  </si>
  <si>
    <t>(台15)濱海路</t>
  </si>
  <si>
    <t>濱海路</t>
  </si>
  <si>
    <t>(桃92)桃大路</t>
  </si>
  <si>
    <t>台66/台15</t>
    <phoneticPr fontId="1" type="noConversion"/>
  </si>
  <si>
    <t>台15東</t>
    <phoneticPr fontId="1" type="noConversion"/>
  </si>
  <si>
    <t>台66南</t>
    <phoneticPr fontId="1" type="noConversion"/>
  </si>
  <si>
    <t>台15西</t>
    <phoneticPr fontId="1" type="noConversion"/>
  </si>
  <si>
    <t>台66北</t>
    <phoneticPr fontId="1" type="noConversion"/>
  </si>
  <si>
    <t>桃92</t>
    <phoneticPr fontId="1" type="noConversion"/>
  </si>
  <si>
    <t>台66/市道115(北側)</t>
    <phoneticPr fontId="1" type="noConversion"/>
  </si>
  <si>
    <t>文化路石橋段625巷</t>
  </si>
  <si>
    <t>台66東</t>
    <phoneticPr fontId="1" type="noConversion"/>
  </si>
  <si>
    <t>市道115南</t>
    <phoneticPr fontId="1" type="noConversion"/>
  </si>
  <si>
    <t>台66西</t>
    <phoneticPr fontId="1" type="noConversion"/>
  </si>
  <si>
    <t>市道115北</t>
    <phoneticPr fontId="1" type="noConversion"/>
  </si>
  <si>
    <t>中山東路二段130巷</t>
  </si>
  <si>
    <t>市道114東</t>
    <phoneticPr fontId="1" type="noConversion"/>
  </si>
  <si>
    <t>市道114西</t>
    <phoneticPr fontId="1" type="noConversion"/>
  </si>
  <si>
    <t>台66/市道114(東側)</t>
    <phoneticPr fontId="1" type="noConversion"/>
  </si>
  <si>
    <t>桃109/桃110</t>
    <phoneticPr fontId="1" type="noConversion"/>
  </si>
  <si>
    <t>(桃110)信義街</t>
    <phoneticPr fontId="19" type="noConversion"/>
  </si>
  <si>
    <t>中正路</t>
  </si>
  <si>
    <t>富源街</t>
  </si>
  <si>
    <t>(桃109)中正路</t>
    <phoneticPr fontId="19" type="noConversion"/>
  </si>
  <si>
    <t>信義街</t>
  </si>
  <si>
    <t>民生街</t>
  </si>
  <si>
    <t>桃110</t>
    <phoneticPr fontId="1" type="noConversion"/>
  </si>
  <si>
    <t>桃109西</t>
    <phoneticPr fontId="1" type="noConversion"/>
  </si>
  <si>
    <t>桃109東</t>
    <phoneticPr fontId="1" type="noConversion"/>
  </si>
  <si>
    <t>台61/台66</t>
    <phoneticPr fontId="1" type="noConversion"/>
  </si>
  <si>
    <t>台66東</t>
    <phoneticPr fontId="1" type="noConversion"/>
  </si>
  <si>
    <t>台66西</t>
  </si>
  <si>
    <t>市道115北</t>
  </si>
  <si>
    <t>市道115南</t>
  </si>
  <si>
    <t>台66/市道115</t>
    <phoneticPr fontId="1" type="noConversion"/>
  </si>
  <si>
    <t>台61東</t>
    <phoneticPr fontId="1" type="noConversion"/>
  </si>
  <si>
    <t>台66南</t>
    <phoneticPr fontId="1" type="noConversion"/>
  </si>
  <si>
    <t>台61西</t>
    <phoneticPr fontId="1" type="noConversion"/>
  </si>
  <si>
    <t>台66北</t>
    <phoneticPr fontId="1" type="noConversion"/>
  </si>
  <si>
    <t>市道114東</t>
    <phoneticPr fontId="1" type="noConversion"/>
  </si>
  <si>
    <t>市道114西</t>
    <phoneticPr fontId="1" type="noConversion"/>
  </si>
  <si>
    <t>台66/市道114</t>
    <phoneticPr fontId="1" type="noConversion"/>
  </si>
  <si>
    <t>平日MAX</t>
    <phoneticPr fontId="1" type="noConversion"/>
  </si>
  <si>
    <t>目標年零方案</t>
    <phoneticPr fontId="1" type="noConversion"/>
  </si>
  <si>
    <t>台61/市道114</t>
    <phoneticPr fontId="1" type="noConversion"/>
  </si>
  <si>
    <t>↗114北</t>
    <phoneticPr fontId="1" type="noConversion"/>
  </si>
  <si>
    <t>→台61東</t>
    <phoneticPr fontId="1" type="noConversion"/>
  </si>
  <si>
    <t>↘114南</t>
    <phoneticPr fontId="1" type="noConversion"/>
  </si>
  <si>
    <t>↑114北</t>
    <phoneticPr fontId="1" type="noConversion"/>
  </si>
  <si>
    <t>↗台61東</t>
    <phoneticPr fontId="1" type="noConversion"/>
  </si>
  <si>
    <t>↓114南</t>
    <phoneticPr fontId="1" type="noConversion"/>
  </si>
  <si>
    <t>↘台61東</t>
    <phoneticPr fontId="1" type="noConversion"/>
  </si>
  <si>
    <t>114南↙</t>
    <phoneticPr fontId="1" type="noConversion"/>
  </si>
  <si>
    <t>台61西←</t>
    <phoneticPr fontId="1" type="noConversion"/>
  </si>
  <si>
    <t>114北↖</t>
    <phoneticPr fontId="1" type="noConversion"/>
  </si>
  <si>
    <t>↖台61西</t>
    <phoneticPr fontId="1" type="noConversion"/>
  </si>
  <si>
    <t>↙台61西</t>
    <phoneticPr fontId="1" type="noConversion"/>
  </si>
  <si>
    <t>道路名稱</t>
    <phoneticPr fontId="1" type="noConversion"/>
  </si>
  <si>
    <t>流容比</t>
    <phoneticPr fontId="1" type="noConversion"/>
  </si>
  <si>
    <t>晨峰</t>
  </si>
  <si>
    <t>昏峰</t>
  </si>
  <si>
    <t>速限
(KPH)</t>
  </si>
  <si>
    <t>交通量
(PCPH)</t>
  </si>
  <si>
    <t>速率(KPH)</t>
  </si>
  <si>
    <t>V=</t>
    <phoneticPr fontId="1" type="noConversion"/>
  </si>
  <si>
    <t>/(1+EXP(-(Q-</t>
    <phoneticPr fontId="1" type="noConversion"/>
  </si>
  <si>
    <t>)))</t>
    <phoneticPr fontId="1" type="noConversion"/>
  </si>
  <si>
    <t>開放路肩</t>
    <phoneticPr fontId="1" type="noConversion"/>
  </si>
  <si>
    <t>N</t>
    <phoneticPr fontId="1" type="noConversion"/>
  </si>
  <si>
    <t>2Y</t>
    <phoneticPr fontId="1" type="noConversion"/>
  </si>
  <si>
    <t>3Y</t>
    <phoneticPr fontId="1" type="noConversion"/>
  </si>
  <si>
    <t>2N</t>
    <phoneticPr fontId="1" type="noConversion"/>
  </si>
  <si>
    <t>3N</t>
    <phoneticPr fontId="1" type="noConversion"/>
  </si>
  <si>
    <t>4N</t>
    <phoneticPr fontId="1" type="noConversion"/>
  </si>
  <si>
    <t>Y</t>
    <phoneticPr fontId="1" type="noConversion"/>
  </si>
  <si>
    <r>
      <t>2</t>
    </r>
    <r>
      <rPr>
        <sz val="12"/>
        <color theme="1"/>
        <rFont val="新細明體"/>
        <family val="2"/>
        <charset val="136"/>
      </rPr>
      <t>車道平坦路段之代表性流率與速率關係</t>
    </r>
    <phoneticPr fontId="1" type="noConversion"/>
  </si>
  <si>
    <r>
      <rPr>
        <sz val="12"/>
        <color theme="1"/>
        <rFont val="新細明體"/>
        <family val="2"/>
        <charset val="136"/>
      </rPr>
      <t>速限</t>
    </r>
    <phoneticPr fontId="1" type="noConversion"/>
  </si>
  <si>
    <r>
      <rPr>
        <sz val="12"/>
        <color theme="1"/>
        <rFont val="新細明體"/>
        <family val="2"/>
        <charset val="136"/>
      </rPr>
      <t>自由速率</t>
    </r>
    <r>
      <rPr>
        <sz val="12"/>
        <color theme="1"/>
        <rFont val="Times New Roman"/>
        <family val="1"/>
      </rPr>
      <t>Vf</t>
    </r>
    <phoneticPr fontId="1" type="noConversion"/>
  </si>
  <si>
    <r>
      <rPr>
        <sz val="12"/>
        <color theme="1"/>
        <rFont val="新細明體"/>
        <family val="2"/>
        <charset val="136"/>
      </rPr>
      <t>流率</t>
    </r>
    <r>
      <rPr>
        <sz val="12"/>
        <color theme="1"/>
        <rFont val="Times New Roman"/>
        <family val="1"/>
      </rPr>
      <t>Q</t>
    </r>
    <phoneticPr fontId="1" type="noConversion"/>
  </si>
  <si>
    <r>
      <rPr>
        <sz val="12"/>
        <color theme="1"/>
        <rFont val="新細明體"/>
        <family val="2"/>
        <charset val="136"/>
      </rPr>
      <t>流率</t>
    </r>
    <r>
      <rPr>
        <sz val="12"/>
        <color theme="1"/>
        <rFont val="Times New Roman"/>
        <family val="1"/>
      </rPr>
      <t>Q</t>
    </r>
    <r>
      <rPr>
        <sz val="12"/>
        <color theme="1"/>
        <rFont val="新細明體"/>
        <family val="2"/>
        <charset val="136"/>
      </rPr>
      <t>與速率</t>
    </r>
    <r>
      <rPr>
        <sz val="12"/>
        <color theme="1"/>
        <rFont val="Times New Roman"/>
        <family val="1"/>
      </rPr>
      <t>V</t>
    </r>
    <r>
      <rPr>
        <sz val="12"/>
        <color theme="1"/>
        <rFont val="新細明體"/>
        <family val="2"/>
        <charset val="136"/>
      </rPr>
      <t>之關係</t>
    </r>
    <phoneticPr fontId="1" type="noConversion"/>
  </si>
  <si>
    <r>
      <rPr>
        <sz val="12"/>
        <color theme="1"/>
        <rFont val="新細明體"/>
        <family val="2"/>
        <charset val="136"/>
      </rPr>
      <t>速率</t>
    </r>
    <r>
      <rPr>
        <sz val="12"/>
        <color theme="1"/>
        <rFont val="Times New Roman"/>
        <family val="1"/>
      </rPr>
      <t>V</t>
    </r>
    <phoneticPr fontId="1" type="noConversion"/>
  </si>
  <si>
    <r>
      <rPr>
        <sz val="12"/>
        <color theme="1"/>
        <rFont val="新細明體"/>
        <family val="2"/>
        <charset val="136"/>
      </rPr>
      <t>容量</t>
    </r>
    <r>
      <rPr>
        <sz val="12"/>
        <color theme="1"/>
        <rFont val="Times New Roman"/>
        <family val="1"/>
      </rPr>
      <t>Qmax</t>
    </r>
    <phoneticPr fontId="1" type="noConversion"/>
  </si>
  <si>
    <r>
      <rPr>
        <sz val="12"/>
        <color theme="1"/>
        <rFont val="新細明體"/>
        <family val="2"/>
        <charset val="136"/>
      </rPr>
      <t>臨界速率</t>
    </r>
    <phoneticPr fontId="1" type="noConversion"/>
  </si>
  <si>
    <r>
      <t>3</t>
    </r>
    <r>
      <rPr>
        <sz val="12"/>
        <color theme="1"/>
        <rFont val="新細明體"/>
        <family val="2"/>
        <charset val="136"/>
      </rPr>
      <t>車道平坦路段之代表性流率與速率關係</t>
    </r>
    <phoneticPr fontId="1" type="noConversion"/>
  </si>
  <si>
    <r>
      <t>4</t>
    </r>
    <r>
      <rPr>
        <sz val="12"/>
        <color theme="1"/>
        <rFont val="新細明體"/>
        <family val="2"/>
        <charset val="136"/>
      </rPr>
      <t>車道平坦路段之代表性流率與速率關係</t>
    </r>
    <phoneticPr fontId="1" type="noConversion"/>
  </si>
  <si>
    <r>
      <t>2</t>
    </r>
    <r>
      <rPr>
        <sz val="12"/>
        <color theme="1"/>
        <rFont val="新細明體"/>
        <family val="2"/>
        <charset val="136"/>
      </rPr>
      <t>車道且開放路肩平坦路段之代表性流率與速率關係</t>
    </r>
    <phoneticPr fontId="1" type="noConversion"/>
  </si>
  <si>
    <r>
      <t>3</t>
    </r>
    <r>
      <rPr>
        <sz val="12"/>
        <color theme="1"/>
        <rFont val="新細明體"/>
        <family val="2"/>
        <charset val="136"/>
      </rPr>
      <t>車道且開放路肩平坦路段之代表性流率與速率關係</t>
    </r>
    <phoneticPr fontId="1" type="noConversion"/>
  </si>
  <si>
    <t>4車道開放路肩
道路容量</t>
    <phoneticPr fontId="1" type="noConversion"/>
  </si>
  <si>
    <t>機場系統(9k+680)~南桃園(10k+915)</t>
    <phoneticPr fontId="1" type="noConversion"/>
  </si>
  <si>
    <t>大湳交流道(19k+250)~鶯歌系統(匝道0k+253)</t>
    <phoneticPr fontId="1" type="noConversion"/>
  </si>
  <si>
    <t>15k+120~大湳東出匝道(匝道0k+070)</t>
    <phoneticPr fontId="1" type="noConversion"/>
  </si>
  <si>
    <t>機場系統(8k+250)~大竹(6k+400)</t>
    <phoneticPr fontId="1" type="noConversion"/>
  </si>
  <si>
    <t>鶯歌系統西入匝道(0k+700)~大湳西出匝道(0k+160)</t>
    <phoneticPr fontId="1" type="noConversion"/>
  </si>
  <si>
    <t>14k+600~南桃園西出匝道(匝道0k+139)</t>
    <phoneticPr fontId="1" type="noConversion"/>
  </si>
  <si>
    <r>
      <rPr>
        <sz val="10"/>
        <color theme="1"/>
        <rFont val="新細明體"/>
        <family val="1"/>
        <charset val="136"/>
      </rPr>
      <t>國道</t>
    </r>
    <r>
      <rPr>
        <sz val="10"/>
        <color theme="1"/>
        <rFont val="Times New Roman"/>
        <family val="1"/>
      </rPr>
      <t>1</t>
    </r>
    <r>
      <rPr>
        <sz val="10"/>
        <color theme="1"/>
        <rFont val="新細明體"/>
        <family val="1"/>
        <charset val="136"/>
      </rPr>
      <t>號</t>
    </r>
    <phoneticPr fontId="1" type="noConversion"/>
  </si>
  <si>
    <r>
      <rPr>
        <sz val="10"/>
        <color theme="1"/>
        <rFont val="新細明體"/>
        <family val="1"/>
        <charset val="136"/>
      </rPr>
      <t xml:space="preserve">道路容量
</t>
    </r>
    <r>
      <rPr>
        <sz val="10"/>
        <color theme="1"/>
        <rFont val="Times New Roman"/>
        <family val="1"/>
      </rPr>
      <t>(PCPH)</t>
    </r>
    <phoneticPr fontId="1" type="noConversion"/>
  </si>
  <si>
    <r>
      <rPr>
        <sz val="10"/>
        <color rgb="FF000000"/>
        <rFont val="新細明體"/>
        <family val="1"/>
        <charset val="136"/>
        <scheme val="major"/>
      </rPr>
      <t>中壢服務區-機場系統</t>
    </r>
    <phoneticPr fontId="50" type="noConversion"/>
  </si>
  <si>
    <r>
      <rPr>
        <sz val="10"/>
        <color rgb="FF000000"/>
        <rFont val="新細明體"/>
        <family val="1"/>
        <charset val="136"/>
        <scheme val="major"/>
      </rPr>
      <t>機場系統-中壢服務區</t>
    </r>
    <phoneticPr fontId="1" type="noConversion"/>
  </si>
  <si>
    <t>01F0532N</t>
  </si>
  <si>
    <t>01F0532S</t>
  </si>
  <si>
    <t>01F0557N</t>
  </si>
  <si>
    <t>01F0557S</t>
  </si>
  <si>
    <t>01F0578S</t>
  </si>
  <si>
    <t>01F0584N</t>
  </si>
  <si>
    <t>01F0633N</t>
  </si>
  <si>
    <t>01F0633S</t>
  </si>
  <si>
    <t>01F0664N</t>
  </si>
  <si>
    <t>01F0664S</t>
  </si>
  <si>
    <t>01F0681N</t>
  </si>
  <si>
    <t>01F0681S</t>
  </si>
  <si>
    <t>01F0699N</t>
  </si>
  <si>
    <t>01F0699S</t>
  </si>
  <si>
    <t>01F0750N</t>
  </si>
  <si>
    <t>01F0750S</t>
  </si>
  <si>
    <t>01F0880N</t>
  </si>
  <si>
    <t>01F0880S</t>
  </si>
  <si>
    <r>
      <rPr>
        <sz val="10"/>
        <color theme="1"/>
        <rFont val="細明體"/>
        <family val="1"/>
        <charset val="136"/>
      </rPr>
      <t>中壢</t>
    </r>
    <r>
      <rPr>
        <sz val="10"/>
        <color theme="1"/>
        <rFont val="Times New Roman"/>
        <family val="1"/>
      </rPr>
      <t>(62k+800)~</t>
    </r>
    <r>
      <rPr>
        <sz val="10"/>
        <color theme="1"/>
        <rFont val="細明體"/>
        <family val="1"/>
        <charset val="136"/>
      </rPr>
      <t>平鎮系統南出匝道</t>
    </r>
    <r>
      <rPr>
        <sz val="10"/>
        <color theme="1"/>
        <rFont val="Times New Roman"/>
        <family val="1"/>
      </rPr>
      <t>(</t>
    </r>
    <r>
      <rPr>
        <sz val="10"/>
        <color theme="1"/>
        <rFont val="細明體"/>
        <family val="1"/>
        <charset val="136"/>
      </rPr>
      <t>匝道</t>
    </r>
    <r>
      <rPr>
        <sz val="10"/>
        <color theme="1"/>
        <rFont val="Times New Roman"/>
        <family val="1"/>
      </rPr>
      <t>0k+170)</t>
    </r>
    <phoneticPr fontId="1" type="noConversion"/>
  </si>
  <si>
    <r>
      <rPr>
        <sz val="10"/>
        <color theme="1"/>
        <rFont val="細明體"/>
        <family val="1"/>
        <charset val="136"/>
      </rPr>
      <t>楊梅休息站</t>
    </r>
    <r>
      <rPr>
        <sz val="10"/>
        <color theme="1"/>
        <rFont val="Times New Roman"/>
        <family val="1"/>
      </rPr>
      <t>(71k+720)~</t>
    </r>
    <r>
      <rPr>
        <sz val="10"/>
        <color theme="1"/>
        <rFont val="細明體"/>
        <family val="1"/>
        <charset val="136"/>
      </rPr>
      <t>湖口南出匝道</t>
    </r>
    <r>
      <rPr>
        <sz val="10"/>
        <color theme="1"/>
        <rFont val="Times New Roman"/>
        <family val="1"/>
      </rPr>
      <t>(</t>
    </r>
    <r>
      <rPr>
        <sz val="10"/>
        <color theme="1"/>
        <rFont val="細明體"/>
        <family val="1"/>
        <charset val="136"/>
      </rPr>
      <t>匝道</t>
    </r>
    <r>
      <rPr>
        <sz val="10"/>
        <color theme="1"/>
        <rFont val="Times New Roman"/>
        <family val="1"/>
      </rPr>
      <t>0k+153)</t>
    </r>
    <phoneticPr fontId="1" type="noConversion"/>
  </si>
  <si>
    <r>
      <rPr>
        <sz val="10"/>
        <color theme="1"/>
        <rFont val="細明體"/>
        <family val="1"/>
        <charset val="136"/>
      </rPr>
      <t>湖口</t>
    </r>
    <r>
      <rPr>
        <sz val="10"/>
        <color theme="1"/>
        <rFont val="Times New Roman"/>
        <family val="1"/>
      </rPr>
      <t>(84k+500)~</t>
    </r>
    <r>
      <rPr>
        <sz val="10"/>
        <color theme="1"/>
        <rFont val="細明體"/>
        <family val="1"/>
        <charset val="136"/>
      </rPr>
      <t>湖口服務區</t>
    </r>
    <r>
      <rPr>
        <sz val="10"/>
        <color theme="1"/>
        <rFont val="Times New Roman"/>
        <family val="1"/>
      </rPr>
      <t>(86k+200)</t>
    </r>
    <r>
      <rPr>
        <sz val="10"/>
        <color theme="1"/>
        <rFont val="Times New Roman"/>
        <family val="1"/>
        <charset val="136"/>
      </rPr>
      <t xml:space="preserve">
</t>
    </r>
    <r>
      <rPr>
        <sz val="10"/>
        <color theme="1"/>
        <rFont val="細明體"/>
        <family val="1"/>
        <charset val="136"/>
      </rPr>
      <t>湖口服務區</t>
    </r>
    <r>
      <rPr>
        <sz val="10"/>
        <color theme="1"/>
        <rFont val="Times New Roman"/>
        <family val="1"/>
        <charset val="136"/>
      </rPr>
      <t>(87k+290)~</t>
    </r>
    <r>
      <rPr>
        <sz val="10"/>
        <color theme="1"/>
        <rFont val="細明體"/>
        <family val="1"/>
        <charset val="136"/>
      </rPr>
      <t>竹北南出匝道</t>
    </r>
    <r>
      <rPr>
        <sz val="10"/>
        <color theme="1"/>
        <rFont val="Times New Roman"/>
        <family val="1"/>
        <charset val="136"/>
      </rPr>
      <t>(</t>
    </r>
    <r>
      <rPr>
        <sz val="10"/>
        <color theme="1"/>
        <rFont val="細明體"/>
        <family val="1"/>
        <charset val="136"/>
      </rPr>
      <t>匝道</t>
    </r>
    <r>
      <rPr>
        <sz val="10"/>
        <color theme="1"/>
        <rFont val="Times New Roman"/>
        <family val="1"/>
        <charset val="136"/>
      </rPr>
      <t>0k+300)</t>
    </r>
    <phoneticPr fontId="1" type="noConversion"/>
  </si>
  <si>
    <r>
      <t xml:space="preserve">	</t>
    </r>
    <r>
      <rPr>
        <sz val="10"/>
        <color theme="1"/>
        <rFont val="細明體"/>
        <family val="1"/>
        <charset val="136"/>
      </rPr>
      <t>平鎮系統</t>
    </r>
    <r>
      <rPr>
        <sz val="10"/>
        <color theme="1"/>
        <rFont val="Times New Roman"/>
        <family val="1"/>
      </rPr>
      <t>(64k+050)~</t>
    </r>
    <r>
      <rPr>
        <sz val="10"/>
        <color theme="1"/>
        <rFont val="細明體"/>
        <family val="1"/>
        <charset val="136"/>
      </rPr>
      <t>中壢北出匝道</t>
    </r>
    <r>
      <rPr>
        <sz val="10"/>
        <color theme="1"/>
        <rFont val="Times New Roman"/>
        <family val="1"/>
      </rPr>
      <t>(</t>
    </r>
    <r>
      <rPr>
        <sz val="10"/>
        <color theme="1"/>
        <rFont val="細明體"/>
        <family val="1"/>
        <charset val="136"/>
      </rPr>
      <t>匝道</t>
    </r>
    <r>
      <rPr>
        <sz val="10"/>
        <color theme="1"/>
        <rFont val="Times New Roman"/>
        <family val="1"/>
      </rPr>
      <t>0k+210)</t>
    </r>
    <phoneticPr fontId="1" type="noConversion"/>
  </si>
  <si>
    <r>
      <rPr>
        <sz val="10"/>
        <color theme="1"/>
        <rFont val="細明體"/>
        <family val="1"/>
        <charset val="136"/>
      </rPr>
      <t>竹北</t>
    </r>
    <r>
      <rPr>
        <sz val="10"/>
        <color theme="1"/>
        <rFont val="Times New Roman"/>
        <family val="1"/>
      </rPr>
      <t>(90k+500)~</t>
    </r>
    <r>
      <rPr>
        <sz val="10"/>
        <color theme="1"/>
        <rFont val="細明體"/>
        <family val="1"/>
        <charset val="136"/>
      </rPr>
      <t>湖口爬坡道</t>
    </r>
    <r>
      <rPr>
        <sz val="10"/>
        <color theme="1"/>
        <rFont val="Times New Roman"/>
        <family val="1"/>
      </rPr>
      <t>(87k+200)</t>
    </r>
    <phoneticPr fontId="1" type="noConversion"/>
  </si>
  <si>
    <r>
      <rPr>
        <sz val="10"/>
        <color theme="1"/>
        <rFont val="新細明體"/>
        <family val="1"/>
        <charset val="136"/>
      </rPr>
      <t>國道</t>
    </r>
    <r>
      <rPr>
        <sz val="10"/>
        <color theme="1"/>
        <rFont val="Times New Roman"/>
        <family val="1"/>
      </rPr>
      <t>3</t>
    </r>
    <r>
      <rPr>
        <sz val="10"/>
        <color theme="1"/>
        <rFont val="新細明體"/>
        <family val="1"/>
        <charset val="136"/>
      </rPr>
      <t>號</t>
    </r>
    <phoneticPr fontId="1" type="noConversion"/>
  </si>
  <si>
    <t>03F0498N</t>
  </si>
  <si>
    <t>03F0498S</t>
  </si>
  <si>
    <t>03F0525N</t>
  </si>
  <si>
    <t>03F0525S</t>
  </si>
  <si>
    <t>03F0559N</t>
  </si>
  <si>
    <t>03F0559S</t>
  </si>
  <si>
    <t>03F0648N</t>
  </si>
  <si>
    <t>03F0648S</t>
  </si>
  <si>
    <t>03F0698N</t>
  </si>
  <si>
    <t>03F0698S</t>
  </si>
  <si>
    <t>03F0746N</t>
  </si>
  <si>
    <t>03F0746S</t>
  </si>
  <si>
    <t>03F0783N</t>
  </si>
  <si>
    <t>03F0783S</t>
  </si>
  <si>
    <t>03F0846N</t>
  </si>
  <si>
    <t>03F0846S</t>
  </si>
  <si>
    <t>03F0961N</t>
  </si>
  <si>
    <t>03F0961S</t>
  </si>
  <si>
    <r>
      <rPr>
        <sz val="10"/>
        <color theme="1"/>
        <rFont val="細明體"/>
        <family val="1"/>
        <charset val="136"/>
      </rPr>
      <t>龍潭</t>
    </r>
    <r>
      <rPr>
        <sz val="10"/>
        <color theme="1"/>
        <rFont val="Times New Roman"/>
        <family val="1"/>
      </rPr>
      <t>(67k+650)~</t>
    </r>
    <r>
      <rPr>
        <sz val="10"/>
        <color theme="1"/>
        <rFont val="細明體"/>
        <family val="1"/>
        <charset val="136"/>
      </rPr>
      <t>大溪</t>
    </r>
    <r>
      <rPr>
        <sz val="10"/>
        <color theme="1"/>
        <rFont val="Times New Roman"/>
        <family val="1"/>
      </rPr>
      <t>(63k+250)</t>
    </r>
    <phoneticPr fontId="1" type="noConversion"/>
  </si>
  <si>
    <t>Y</t>
  </si>
  <si>
    <r>
      <rPr>
        <sz val="10"/>
        <color theme="1"/>
        <rFont val="新細明體"/>
        <family val="1"/>
        <charset val="136"/>
      </rPr>
      <t>國道</t>
    </r>
    <r>
      <rPr>
        <sz val="10"/>
        <color theme="1"/>
        <rFont val="Times New Roman"/>
        <family val="1"/>
      </rPr>
      <t>2</t>
    </r>
    <r>
      <rPr>
        <sz val="10"/>
        <color theme="1"/>
        <rFont val="新細明體"/>
        <family val="1"/>
        <charset val="136"/>
      </rPr>
      <t>號</t>
    </r>
    <phoneticPr fontId="1" type="noConversion"/>
  </si>
  <si>
    <t>桃園機場交流道-大園交流道</t>
  </si>
  <si>
    <t>大園交流道-桃園機場交流道</t>
  </si>
  <si>
    <t>大園交流道-大竹交流道</t>
  </si>
  <si>
    <t>大竹交流道-大園交流道</t>
  </si>
  <si>
    <t>大竹交流道-機場系統交流道</t>
  </si>
  <si>
    <t>機場系統交流道-大竹交流道</t>
  </si>
  <si>
    <t>機場系統交流道-南桃園交流道</t>
  </si>
  <si>
    <t>南桃園交流道-機場系統交流道</t>
  </si>
  <si>
    <t>南桃園交流道-大湳交流道</t>
  </si>
  <si>
    <t>大湳交流道-南桃園交流道</t>
  </si>
  <si>
    <t>大湳交流道-鶯歌系統交流道</t>
  </si>
  <si>
    <t>鶯歌系統交流道-大湳交流道</t>
  </si>
  <si>
    <t>N</t>
  </si>
  <si>
    <t>VD-N2-E-0.000-M-LOOP</t>
    <phoneticPr fontId="1" type="noConversion"/>
  </si>
  <si>
    <t>VD-N2-W-0.020-M-LOOP</t>
    <phoneticPr fontId="1" type="noConversion"/>
  </si>
  <si>
    <t>VD-N2-E-2.230-M-RS</t>
    <phoneticPr fontId="1" type="noConversion"/>
  </si>
  <si>
    <t>VD-N2-W-2.270-M-LOOP</t>
    <phoneticPr fontId="1" type="noConversion"/>
  </si>
  <si>
    <t>VD-N2-E-4.140-M-LOOP</t>
    <phoneticPr fontId="1" type="noConversion"/>
  </si>
  <si>
    <t>VD-N2-W-3.360-M-RS</t>
    <phoneticPr fontId="1" type="noConversion"/>
  </si>
  <si>
    <t>VD-N2-E-6.950-M-RS</t>
    <phoneticPr fontId="1" type="noConversion"/>
  </si>
  <si>
    <t>VD-N2-W-6.260-M-LOOP</t>
    <phoneticPr fontId="1" type="noConversion"/>
  </si>
  <si>
    <t>VD-N2-E-7.900-M-LOOP</t>
    <phoneticPr fontId="1" type="noConversion"/>
  </si>
  <si>
    <t>VD-N2-W-7.860-M-RS</t>
    <phoneticPr fontId="1" type="noConversion"/>
  </si>
  <si>
    <t>VD-N2-E-10.360-M-RS</t>
    <phoneticPr fontId="1" type="noConversion"/>
  </si>
  <si>
    <t>VD-N2-W-10.380-M-LOOP</t>
    <phoneticPr fontId="1" type="noConversion"/>
  </si>
  <si>
    <t>VD-N2-E-10.800-M-LOOP</t>
    <phoneticPr fontId="1" type="noConversion"/>
  </si>
  <si>
    <t>VD-N2-W-10.530-M-RS</t>
    <phoneticPr fontId="1" type="noConversion"/>
  </si>
  <si>
    <t>VD-N2-E-12.540-M-RS</t>
    <phoneticPr fontId="1" type="noConversion"/>
  </si>
  <si>
    <t>VD-N2-W-12.540-M-RS</t>
    <phoneticPr fontId="1" type="noConversion"/>
  </si>
  <si>
    <t>VD-N2-E-14.460-M-LOOP</t>
    <phoneticPr fontId="1" type="noConversion"/>
  </si>
  <si>
    <t>VD-N2-W-14.460-M-LOOP</t>
    <phoneticPr fontId="1" type="noConversion"/>
  </si>
  <si>
    <t>VD-N2-E-16.390-M-RS</t>
    <phoneticPr fontId="1" type="noConversion"/>
  </si>
  <si>
    <t>VD-N2-W-16.390-M-RS</t>
    <phoneticPr fontId="1" type="noConversion"/>
  </si>
  <si>
    <t>VD-N2-E-19.300-M-RS</t>
    <phoneticPr fontId="1" type="noConversion"/>
  </si>
  <si>
    <t>VD-N2-W-19.310-M-LOOP</t>
    <phoneticPr fontId="1" type="noConversion"/>
  </si>
  <si>
    <t>VD-N2-E-19.610-M-LOOP</t>
    <phoneticPr fontId="1" type="noConversion"/>
  </si>
  <si>
    <t>VD-N2-W-19.710-M-RS</t>
    <phoneticPr fontId="1" type="noConversion"/>
  </si>
  <si>
    <r>
      <t>內壢</t>
    </r>
    <r>
      <rPr>
        <sz val="10"/>
        <color rgb="FF000000"/>
        <rFont val="新細明體"/>
        <family val="1"/>
        <charset val="136"/>
        <scheme val="major"/>
      </rPr>
      <t>-中壢服務區</t>
    </r>
    <phoneticPr fontId="50" type="noConversion"/>
  </si>
  <si>
    <r>
      <t>中壢服務區</t>
    </r>
    <r>
      <rPr>
        <sz val="10"/>
        <color rgb="FF000000"/>
        <rFont val="新細明體"/>
        <family val="1"/>
        <charset val="136"/>
        <scheme val="major"/>
      </rPr>
      <t>-內壢</t>
    </r>
    <phoneticPr fontId="1" type="noConversion"/>
  </si>
  <si>
    <r>
      <t>內壢</t>
    </r>
    <r>
      <rPr>
        <sz val="10"/>
        <color rgb="FF000000"/>
        <rFont val="新細明體"/>
        <family val="1"/>
        <charset val="136"/>
        <scheme val="major"/>
      </rPr>
      <t>-中壢</t>
    </r>
    <phoneticPr fontId="50" type="noConversion"/>
  </si>
  <si>
    <r>
      <t>中壢</t>
    </r>
    <r>
      <rPr>
        <sz val="10"/>
        <color rgb="FF000000"/>
        <rFont val="新細明體"/>
        <family val="1"/>
        <charset val="136"/>
        <scheme val="major"/>
      </rPr>
      <t>-內壢</t>
    </r>
    <phoneticPr fontId="1" type="noConversion"/>
  </si>
  <si>
    <r>
      <t>平鎮系統</t>
    </r>
    <r>
      <rPr>
        <sz val="10"/>
        <color rgb="FF000000"/>
        <rFont val="新細明體"/>
        <family val="1"/>
        <charset val="136"/>
        <scheme val="major"/>
      </rPr>
      <t>-中壢</t>
    </r>
    <phoneticPr fontId="50" type="noConversion"/>
  </si>
  <si>
    <r>
      <t>中壢</t>
    </r>
    <r>
      <rPr>
        <sz val="10"/>
        <color rgb="FF000000"/>
        <rFont val="新細明體"/>
        <family val="1"/>
        <charset val="136"/>
        <scheme val="major"/>
      </rPr>
      <t>-平鎮系統</t>
    </r>
    <phoneticPr fontId="1" type="noConversion"/>
  </si>
  <si>
    <r>
      <t>幼獅</t>
    </r>
    <r>
      <rPr>
        <sz val="10"/>
        <color rgb="FF000000"/>
        <rFont val="新細明體"/>
        <family val="1"/>
        <charset val="136"/>
        <scheme val="major"/>
      </rPr>
      <t>-平鎮系統</t>
    </r>
    <phoneticPr fontId="50" type="noConversion"/>
  </si>
  <si>
    <r>
      <t>平鎮系統</t>
    </r>
    <r>
      <rPr>
        <sz val="10"/>
        <color rgb="FF000000"/>
        <rFont val="新細明體"/>
        <family val="1"/>
        <charset val="136"/>
        <scheme val="major"/>
      </rPr>
      <t>-幼獅</t>
    </r>
    <phoneticPr fontId="1" type="noConversion"/>
  </si>
  <si>
    <t>楊梅-幼獅</t>
    <phoneticPr fontId="50" type="noConversion"/>
  </si>
  <si>
    <t>幼獅-楊梅</t>
    <phoneticPr fontId="1" type="noConversion"/>
  </si>
  <si>
    <t>楊梅端-楊梅</t>
    <phoneticPr fontId="50" type="noConversion"/>
  </si>
  <si>
    <t>楊梅-楊梅端</t>
    <phoneticPr fontId="1" type="noConversion"/>
  </si>
  <si>
    <t>湖口-楊梅端</t>
    <phoneticPr fontId="50" type="noConversion"/>
  </si>
  <si>
    <t>楊梅端-湖口</t>
    <phoneticPr fontId="1" type="noConversion"/>
  </si>
  <si>
    <t>竹北-湖口</t>
    <phoneticPr fontId="50" type="noConversion"/>
  </si>
  <si>
    <t>湖口-竹北</t>
    <phoneticPr fontId="1" type="noConversion"/>
  </si>
  <si>
    <t>三鶯-樹林</t>
    <phoneticPr fontId="50" type="noConversion"/>
  </si>
  <si>
    <t>樹林-三鶯</t>
    <phoneticPr fontId="1" type="noConversion"/>
  </si>
  <si>
    <t>鶯歌系統-三鶯</t>
    <phoneticPr fontId="50" type="noConversion"/>
  </si>
  <si>
    <t>三鶯-鶯歌系統</t>
    <phoneticPr fontId="1" type="noConversion"/>
  </si>
  <si>
    <t>大溪-鶯歌系統</t>
    <phoneticPr fontId="50" type="noConversion"/>
  </si>
  <si>
    <t>鶯歌系統-大溪</t>
    <phoneticPr fontId="1" type="noConversion"/>
  </si>
  <si>
    <t>龍潭-大溪</t>
    <phoneticPr fontId="50" type="noConversion"/>
  </si>
  <si>
    <t>大溪-龍潭</t>
    <phoneticPr fontId="1" type="noConversion"/>
  </si>
  <si>
    <t>高原-龍潭</t>
    <phoneticPr fontId="50" type="noConversion"/>
  </si>
  <si>
    <t>龍潭-高原</t>
    <phoneticPr fontId="1" type="noConversion"/>
  </si>
  <si>
    <t>關西服務區-高原</t>
    <phoneticPr fontId="50" type="noConversion"/>
  </si>
  <si>
    <t>高原-關西服務區</t>
    <phoneticPr fontId="1" type="noConversion"/>
  </si>
  <si>
    <t>關西-關西服務區</t>
    <phoneticPr fontId="50" type="noConversion"/>
  </si>
  <si>
    <t>關西服務區-關西</t>
    <phoneticPr fontId="1" type="noConversion"/>
  </si>
  <si>
    <t>竹林-關西</t>
    <phoneticPr fontId="50" type="noConversion"/>
  </si>
  <si>
    <t>關西-竹林</t>
    <phoneticPr fontId="1" type="noConversion"/>
  </si>
  <si>
    <t>寶山-竹林</t>
    <phoneticPr fontId="50" type="noConversion"/>
  </si>
  <si>
    <t>竹林-寶山</t>
    <phoneticPr fontId="1" type="noConversion"/>
  </si>
  <si>
    <t>國道2號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</si>
</sst>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 "/>
    <numFmt numFmtId="177" formatCode="#,##0.00_ "/>
    <numFmt numFmtId="178" formatCode="#,##0.0_ "/>
    <numFmt numFmtId="180" formatCode="0_);[Red]\(0\)"/>
    <numFmt numFmtId="181" formatCode="0.0000"/>
    <numFmt numFmtId="182" formatCode="0_ "/>
    <numFmt numFmtId="183" formatCode="0.0"/>
  </numFmts>
  <fonts count="5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sz val="12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新細明體"/>
      <family val="2"/>
      <charset val="136"/>
      <scheme val="minor"/>
    </font>
    <font>
      <sz val="12"/>
      <color rgb="FF002060"/>
      <name val="新細明體"/>
      <family val="1"/>
      <charset val="136"/>
    </font>
    <font>
      <sz val="12"/>
      <color rgb="FF002060"/>
      <name val="細明體"/>
      <family val="3"/>
      <charset val="136"/>
    </font>
    <font>
      <sz val="12"/>
      <color rgb="FF002060"/>
      <name val="新細明體"/>
      <family val="2"/>
      <charset val="136"/>
      <scheme val="minor"/>
    </font>
    <font>
      <sz val="12"/>
      <color theme="1"/>
      <name val="Microsoft JhengHei"/>
      <family val="1"/>
    </font>
    <font>
      <sz val="12"/>
      <color rgb="FFC00000"/>
      <name val="Times New Roman"/>
      <family val="1"/>
    </font>
    <font>
      <b/>
      <sz val="12"/>
      <color rgb="FFC00000"/>
      <name val="Times New Roman"/>
      <family val="1"/>
    </font>
    <font>
      <b/>
      <sz val="12"/>
      <color rgb="FFC00000"/>
      <name val="新細明體"/>
      <family val="2"/>
      <charset val="136"/>
      <scheme val="minor"/>
    </font>
    <font>
      <sz val="12"/>
      <color theme="5" tint="-0.249977111117893"/>
      <name val="Times New Roman"/>
      <family val="1"/>
    </font>
    <font>
      <b/>
      <sz val="12"/>
      <color theme="5" tint="-0.249977111117893"/>
      <name val="Times New Roman"/>
      <family val="1"/>
    </font>
    <font>
      <i/>
      <sz val="12"/>
      <color theme="3" tint="0.249977111117893"/>
      <name val="Times New Roman"/>
      <family val="1"/>
    </font>
    <font>
      <sz val="12"/>
      <color rgb="FF002060"/>
      <name val="Times New Roman"/>
      <family val="1"/>
    </font>
    <font>
      <sz val="9"/>
      <name val="新細明體"/>
      <family val="1"/>
      <charset val="136"/>
    </font>
    <font>
      <sz val="12"/>
      <color rgb="FFFF0000"/>
      <name val="新細明體"/>
      <family val="1"/>
      <charset val="136"/>
      <scheme val="minor"/>
    </font>
    <font>
      <sz val="10"/>
      <name val="新細明體"/>
      <family val="1"/>
      <charset val="136"/>
    </font>
    <font>
      <sz val="10"/>
      <color rgb="FFFF0000"/>
      <name val="新細明體"/>
      <family val="1"/>
      <charset val="136"/>
    </font>
    <font>
      <b/>
      <sz val="10"/>
      <name val="新細明體"/>
      <family val="1"/>
      <charset val="136"/>
    </font>
    <font>
      <b/>
      <sz val="10"/>
      <color rgb="FFFF0000"/>
      <name val="新細明體"/>
      <family val="1"/>
      <charset val="136"/>
    </font>
    <font>
      <sz val="12"/>
      <color theme="1"/>
      <name val="jf open 粉圓 1.1"/>
      <family val="2"/>
      <charset val="136"/>
    </font>
    <font>
      <sz val="10"/>
      <color rgb="FF002060"/>
      <name val="新細明體"/>
      <family val="1"/>
      <charset val="136"/>
    </font>
    <font>
      <sz val="10"/>
      <color rgb="FF002060"/>
      <name val="細明體"/>
      <family val="3"/>
      <charset val="136"/>
    </font>
    <font>
      <sz val="10"/>
      <color theme="1"/>
      <name val="新細明體"/>
      <family val="2"/>
      <charset val="136"/>
      <scheme val="minor"/>
    </font>
    <font>
      <sz val="10"/>
      <color rgb="FF002060"/>
      <name val="Times New Roman"/>
      <family val="1"/>
    </font>
    <font>
      <sz val="10"/>
      <color rgb="FF002060"/>
      <name val="新細明體"/>
      <family val="2"/>
      <charset val="136"/>
      <scheme val="minor"/>
    </font>
    <font>
      <sz val="10"/>
      <color rgb="FFC00000"/>
      <name val="新細明體"/>
      <family val="1"/>
      <charset val="136"/>
    </font>
    <font>
      <sz val="10"/>
      <color rgb="FFC00000"/>
      <name val="細明體"/>
      <family val="3"/>
      <charset val="136"/>
    </font>
    <font>
      <sz val="10"/>
      <color rgb="FFC00000"/>
      <name val="Times New Roman"/>
      <family val="1"/>
    </font>
    <font>
      <sz val="10"/>
      <color rgb="FFC00000"/>
      <name val="新細明體"/>
      <family val="2"/>
      <charset val="136"/>
      <scheme val="minor"/>
    </font>
    <font>
      <sz val="10"/>
      <color rgb="FF7030A0"/>
      <name val="細明體"/>
      <family val="3"/>
      <charset val="136"/>
    </font>
    <font>
      <sz val="10"/>
      <color rgb="FF7030A0"/>
      <name val="新細明體"/>
      <family val="2"/>
      <charset val="136"/>
      <scheme val="minor"/>
    </font>
    <font>
      <sz val="12"/>
      <color rgb="FF7030A0"/>
      <name val="新細明體"/>
      <family val="2"/>
      <charset val="136"/>
      <scheme val="minor"/>
    </font>
    <font>
      <sz val="10"/>
      <color rgb="FF7030A0"/>
      <name val="新細明體"/>
      <family val="1"/>
      <charset val="136"/>
    </font>
    <font>
      <sz val="12"/>
      <color rgb="FF7030A0"/>
      <name val="新細明體"/>
      <family val="1"/>
      <charset val="136"/>
      <scheme val="minor"/>
    </font>
    <font>
      <sz val="12"/>
      <color theme="1"/>
      <name val="新細明體"/>
      <family val="2"/>
      <charset val="136"/>
    </font>
    <font>
      <sz val="10"/>
      <color theme="1"/>
      <name val="Microsoft JhengHei"/>
      <family val="1"/>
    </font>
    <font>
      <sz val="12"/>
      <color rgb="FFFF0000"/>
      <name val="Times New Roman"/>
      <family val="1"/>
    </font>
    <font>
      <sz val="9"/>
      <name val="Courier New"/>
      <family val="3"/>
    </font>
    <font>
      <sz val="10"/>
      <color rgb="FFFF0000"/>
      <name val="Times New Roman"/>
      <family val="1"/>
    </font>
    <font>
      <sz val="10"/>
      <color theme="1"/>
      <name val="Times New Roman"/>
      <family val="2"/>
      <charset val="136"/>
    </font>
    <font>
      <sz val="10"/>
      <name val="Times New Roman"/>
      <family val="1"/>
    </font>
    <font>
      <sz val="10"/>
      <color theme="1"/>
      <name val="細明體"/>
      <family val="1"/>
      <charset val="136"/>
    </font>
    <font>
      <sz val="10"/>
      <color theme="1"/>
      <name val="Times New Roman"/>
      <family val="1"/>
      <charset val="136"/>
    </font>
    <font>
      <sz val="9"/>
      <name val="Times New Roman"/>
      <family val="1"/>
    </font>
    <font>
      <sz val="9"/>
      <name val="新細明體"/>
      <family val="3"/>
      <charset val="136"/>
      <scheme val="minor"/>
    </font>
    <font>
      <sz val="10"/>
      <color theme="1"/>
      <name val="新細明體"/>
      <family val="1"/>
      <charset val="136"/>
      <scheme val="major"/>
    </font>
    <font>
      <sz val="10"/>
      <color rgb="FF000000"/>
      <name val="新細明體"/>
      <family val="1"/>
      <charset val="136"/>
      <scheme val="major"/>
    </font>
    <font>
      <sz val="10"/>
      <color theme="0" tint="-0.34998626667073579"/>
      <name val="Times New Roman"/>
      <family val="1"/>
    </font>
    <font>
      <sz val="10"/>
      <color rgb="FFFF0000"/>
      <name val="新細明體"/>
      <family val="1"/>
      <charset val="136"/>
      <scheme val="major"/>
    </font>
    <font>
      <sz val="10"/>
      <name val="新細明體"/>
      <family val="1"/>
      <charset val="136"/>
      <scheme val="maj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3" fillId="0" borderId="0"/>
  </cellStyleXfs>
  <cellXfs count="18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4" fontId="6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80" fontId="9" fillId="0" borderId="0" xfId="0" applyNumberFormat="1" applyFont="1" applyAlignment="1">
      <alignment horizontal="center" vertical="center" wrapText="1"/>
    </xf>
    <xf numFmtId="180" fontId="8" fillId="0" borderId="0" xfId="0" applyNumberFormat="1" applyFont="1" applyAlignment="1">
      <alignment horizontal="center" vertical="center" wrapText="1"/>
    </xf>
    <xf numFmtId="180" fontId="10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0" fontId="14" fillId="0" borderId="0" xfId="0" applyFont="1">
      <alignment vertical="center"/>
    </xf>
    <xf numFmtId="3" fontId="12" fillId="0" borderId="0" xfId="0" applyNumberFormat="1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180" fontId="18" fillId="0" borderId="0" xfId="0" applyNumberFormat="1" applyFont="1" applyAlignment="1">
      <alignment horizontal="center" vertical="center" wrapText="1"/>
    </xf>
    <xf numFmtId="180" fontId="9" fillId="0" borderId="0" xfId="0" applyNumberFormat="1" applyFont="1" applyAlignment="1">
      <alignment horizontal="right" vertical="center" wrapText="1"/>
    </xf>
    <xf numFmtId="1" fontId="6" fillId="0" borderId="0" xfId="0" applyNumberFormat="1" applyFont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182" fontId="0" fillId="0" borderId="0" xfId="0" applyNumberFormat="1" applyAlignment="1">
      <alignment vertical="center" wrapText="1"/>
    </xf>
    <xf numFmtId="0" fontId="22" fillId="2" borderId="8" xfId="0" applyFont="1" applyFill="1" applyBorder="1" applyAlignment="1">
      <alignment horizontal="center" vertical="center" wrapText="1"/>
    </xf>
    <xf numFmtId="182" fontId="0" fillId="4" borderId="0" xfId="0" applyNumberFormat="1" applyFill="1" applyAlignment="1">
      <alignment vertical="center" wrapText="1"/>
    </xf>
    <xf numFmtId="0" fontId="23" fillId="0" borderId="4" xfId="0" applyFont="1" applyBorder="1" applyAlignment="1">
      <alignment horizontal="center" vertical="center" wrapText="1"/>
    </xf>
    <xf numFmtId="10" fontId="24" fillId="2" borderId="11" xfId="0" applyNumberFormat="1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182" fontId="0" fillId="0" borderId="0" xfId="0" applyNumberFormat="1">
      <alignment vertical="center"/>
    </xf>
    <xf numFmtId="180" fontId="8" fillId="0" borderId="0" xfId="0" applyNumberFormat="1" applyFont="1" applyAlignment="1">
      <alignment vertical="center" wrapText="1"/>
    </xf>
    <xf numFmtId="1" fontId="25" fillId="0" borderId="0" xfId="0" applyNumberFormat="1" applyFont="1">
      <alignment vertical="center"/>
    </xf>
    <xf numFmtId="0" fontId="25" fillId="0" borderId="0" xfId="0" applyFont="1" applyAlignment="1">
      <alignment horizontal="right" vertical="center"/>
    </xf>
    <xf numFmtId="1" fontId="25" fillId="0" borderId="0" xfId="0" applyNumberFormat="1" applyFont="1" applyAlignment="1">
      <alignment horizontal="right" vertical="center"/>
    </xf>
    <xf numFmtId="0" fontId="25" fillId="0" borderId="0" xfId="0" applyFont="1">
      <alignment vertical="center"/>
    </xf>
    <xf numFmtId="1" fontId="0" fillId="0" borderId="0" xfId="0" applyNumberFormat="1">
      <alignment vertical="center"/>
    </xf>
    <xf numFmtId="1" fontId="0" fillId="0" borderId="0" xfId="0" applyNumberFormat="1" applyAlignment="1">
      <alignment horizontal="right" vertical="center"/>
    </xf>
    <xf numFmtId="180" fontId="26" fillId="0" borderId="0" xfId="0" applyNumberFormat="1" applyFont="1">
      <alignment vertical="center"/>
    </xf>
    <xf numFmtId="180" fontId="26" fillId="0" borderId="0" xfId="0" applyNumberFormat="1" applyFont="1" applyAlignment="1">
      <alignment horizontal="center" vertical="center"/>
    </xf>
    <xf numFmtId="180" fontId="27" fillId="0" borderId="0" xfId="0" applyNumberFormat="1" applyFont="1" applyAlignment="1">
      <alignment horizontal="center" vertical="center"/>
    </xf>
    <xf numFmtId="0" fontId="28" fillId="0" borderId="0" xfId="0" applyFont="1">
      <alignment vertical="center"/>
    </xf>
    <xf numFmtId="180" fontId="29" fillId="0" borderId="0" xfId="0" applyNumberFormat="1" applyFont="1" applyAlignment="1">
      <alignment horizontal="center" vertical="center"/>
    </xf>
    <xf numFmtId="180" fontId="27" fillId="0" borderId="0" xfId="0" applyNumberFormat="1" applyFont="1" applyAlignment="1">
      <alignment horizontal="right" vertical="center"/>
    </xf>
    <xf numFmtId="180" fontId="30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1" fontId="0" fillId="0" borderId="0" xfId="0" applyNumberFormat="1" applyAlignment="1">
      <alignment horizontal="left" vertical="center"/>
    </xf>
    <xf numFmtId="1" fontId="28" fillId="0" borderId="0" xfId="0" applyNumberFormat="1" applyFont="1">
      <alignment vertical="center"/>
    </xf>
    <xf numFmtId="182" fontId="2" fillId="0" borderId="0" xfId="0" applyNumberFormat="1" applyFont="1" applyAlignment="1">
      <alignment horizontal="center" vertical="center" wrapText="1"/>
    </xf>
    <xf numFmtId="182" fontId="0" fillId="0" borderId="0" xfId="0" applyNumberFormat="1" applyAlignment="1">
      <alignment horizontal="center" vertical="center"/>
    </xf>
    <xf numFmtId="180" fontId="26" fillId="0" borderId="0" xfId="0" applyNumberFormat="1" applyFont="1" applyAlignment="1">
      <alignment vertical="center" wrapText="1"/>
    </xf>
    <xf numFmtId="180" fontId="26" fillId="0" borderId="0" xfId="0" applyNumberFormat="1" applyFont="1" applyAlignment="1">
      <alignment horizontal="center" vertical="center" wrapText="1"/>
    </xf>
    <xf numFmtId="180" fontId="27" fillId="0" borderId="0" xfId="0" applyNumberFormat="1" applyFont="1" applyAlignment="1">
      <alignment horizontal="center" vertical="center" wrapText="1"/>
    </xf>
    <xf numFmtId="182" fontId="0" fillId="4" borderId="0" xfId="0" applyNumberFormat="1" applyFill="1">
      <alignment vertical="center"/>
    </xf>
    <xf numFmtId="0" fontId="7" fillId="0" borderId="0" xfId="0" applyFont="1">
      <alignment vertical="center"/>
    </xf>
    <xf numFmtId="182" fontId="2" fillId="0" borderId="0" xfId="0" applyNumberFormat="1" applyFont="1" applyAlignment="1">
      <alignment horizontal="center" vertical="center"/>
    </xf>
    <xf numFmtId="180" fontId="27" fillId="0" borderId="0" xfId="0" applyNumberFormat="1" applyFont="1" applyAlignment="1">
      <alignment horizontal="left" vertical="center"/>
    </xf>
    <xf numFmtId="180" fontId="31" fillId="0" borderId="0" xfId="0" applyNumberFormat="1" applyFont="1" applyAlignment="1">
      <alignment horizontal="center" vertical="center"/>
    </xf>
    <xf numFmtId="180" fontId="32" fillId="0" borderId="0" xfId="0" applyNumberFormat="1" applyFont="1" applyAlignment="1">
      <alignment horizontal="center" vertical="center"/>
    </xf>
    <xf numFmtId="180" fontId="33" fillId="0" borderId="0" xfId="0" applyNumberFormat="1" applyFont="1" applyAlignment="1">
      <alignment horizontal="center" vertical="center"/>
    </xf>
    <xf numFmtId="0" fontId="34" fillId="0" borderId="0" xfId="0" applyFont="1">
      <alignment vertical="center"/>
    </xf>
    <xf numFmtId="0" fontId="34" fillId="0" borderId="0" xfId="0" applyFont="1" applyAlignment="1">
      <alignment horizontal="center" vertical="center"/>
    </xf>
    <xf numFmtId="180" fontId="34" fillId="0" borderId="0" xfId="0" applyNumberFormat="1" applyFont="1" applyAlignment="1">
      <alignment horizontal="center" vertical="center"/>
    </xf>
    <xf numFmtId="180" fontId="27" fillId="0" borderId="0" xfId="0" applyNumberFormat="1" applyFont="1">
      <alignment vertic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" fontId="34" fillId="0" borderId="0" xfId="0" applyNumberFormat="1" applyFont="1">
      <alignment vertical="center"/>
    </xf>
    <xf numFmtId="180" fontId="30" fillId="0" borderId="0" xfId="0" applyNumberFormat="1" applyFont="1" applyAlignment="1">
      <alignment horizontal="left" vertical="center"/>
    </xf>
    <xf numFmtId="180" fontId="31" fillId="0" borderId="0" xfId="0" applyNumberFormat="1" applyFont="1" applyAlignment="1">
      <alignment horizontal="left" vertical="center"/>
    </xf>
    <xf numFmtId="180" fontId="32" fillId="0" borderId="0" xfId="0" applyNumberFormat="1" applyFont="1" applyAlignment="1">
      <alignment horizontal="left" vertical="center"/>
    </xf>
    <xf numFmtId="180" fontId="33" fillId="0" borderId="0" xfId="0" applyNumberFormat="1" applyFont="1" applyAlignment="1">
      <alignment horizontal="left" vertical="center"/>
    </xf>
    <xf numFmtId="180" fontId="34" fillId="0" borderId="0" xfId="0" applyNumberFormat="1" applyFont="1" applyAlignment="1">
      <alignment horizontal="left" vertical="center"/>
    </xf>
    <xf numFmtId="1" fontId="34" fillId="0" borderId="0" xfId="0" applyNumberFormat="1" applyFont="1" applyAlignment="1">
      <alignment horizontal="center" vertical="center"/>
    </xf>
    <xf numFmtId="180" fontId="27" fillId="0" borderId="0" xfId="0" applyNumberFormat="1" applyFont="1" applyAlignment="1">
      <alignment horizontal="left" vertical="center" wrapText="1"/>
    </xf>
    <xf numFmtId="180" fontId="0" fillId="0" borderId="0" xfId="0" applyNumberFormat="1">
      <alignment vertical="center"/>
    </xf>
    <xf numFmtId="180" fontId="0" fillId="0" borderId="0" xfId="0" applyNumberFormat="1" applyAlignment="1">
      <alignment horizontal="center" vertical="center"/>
    </xf>
    <xf numFmtId="180" fontId="35" fillId="0" borderId="0" xfId="0" applyNumberFormat="1" applyFont="1" applyAlignment="1">
      <alignment horizontal="left" vertical="center"/>
    </xf>
    <xf numFmtId="180" fontId="36" fillId="0" borderId="0" xfId="0" applyNumberFormat="1" applyFont="1" applyAlignment="1">
      <alignment horizontal="center" vertical="center"/>
    </xf>
    <xf numFmtId="0" fontId="37" fillId="0" borderId="0" xfId="0" applyFont="1">
      <alignment vertical="center"/>
    </xf>
    <xf numFmtId="180" fontId="38" fillId="0" borderId="0" xfId="0" applyNumberFormat="1" applyFont="1">
      <alignment vertical="center"/>
    </xf>
    <xf numFmtId="180" fontId="38" fillId="0" borderId="0" xfId="0" applyNumberFormat="1" applyFont="1" applyAlignment="1">
      <alignment horizontal="center" vertical="center"/>
    </xf>
    <xf numFmtId="180" fontId="35" fillId="0" borderId="0" xfId="0" applyNumberFormat="1" applyFont="1">
      <alignment vertical="center"/>
    </xf>
    <xf numFmtId="180" fontId="38" fillId="0" borderId="0" xfId="0" applyNumberFormat="1" applyFont="1" applyAlignment="1">
      <alignment horizontal="left" vertical="center"/>
    </xf>
    <xf numFmtId="0" fontId="39" fillId="0" borderId="0" xfId="0" applyFont="1">
      <alignment vertical="center"/>
    </xf>
    <xf numFmtId="4" fontId="11" fillId="0" borderId="0" xfId="0" applyNumberFormat="1" applyFont="1" applyAlignment="1">
      <alignment horizontal="right" vertical="center"/>
    </xf>
    <xf numFmtId="180" fontId="2" fillId="0" borderId="0" xfId="0" applyNumberFormat="1" applyFont="1">
      <alignment vertical="center"/>
    </xf>
    <xf numFmtId="180" fontId="2" fillId="0" borderId="0" xfId="0" applyNumberFormat="1" applyFont="1" applyAlignment="1">
      <alignment horizontal="right" vertical="center"/>
    </xf>
    <xf numFmtId="182" fontId="2" fillId="0" borderId="0" xfId="0" applyNumberFormat="1" applyFont="1" applyAlignment="1">
      <alignment horizontal="right" vertical="center"/>
    </xf>
    <xf numFmtId="182" fontId="0" fillId="0" borderId="0" xfId="0" applyNumberFormat="1" applyAlignment="1">
      <alignment horizontal="left" vertical="center"/>
    </xf>
    <xf numFmtId="0" fontId="43" fillId="0" borderId="0" xfId="1"/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/>
    </xf>
    <xf numFmtId="176" fontId="46" fillId="0" borderId="2" xfId="0" applyNumberFormat="1" applyFont="1" applyBorder="1" applyAlignment="1">
      <alignment horizontal="center" vertical="center" wrapText="1"/>
    </xf>
    <xf numFmtId="177" fontId="5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176" fontId="5" fillId="0" borderId="5" xfId="0" applyNumberFormat="1" applyFont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176" fontId="5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177" fontId="46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8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6" fillId="0" borderId="0" xfId="0" applyFont="1" applyAlignment="1">
      <alignment horizontal="right" vertical="center"/>
    </xf>
    <xf numFmtId="0" fontId="42" fillId="0" borderId="0" xfId="0" applyFont="1">
      <alignment vertical="center"/>
    </xf>
    <xf numFmtId="0" fontId="49" fillId="0" borderId="0" xfId="1" applyFont="1"/>
    <xf numFmtId="183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76" fontId="51" fillId="0" borderId="2" xfId="0" applyNumberFormat="1" applyFont="1" applyBorder="1" applyAlignment="1">
      <alignment horizontal="center" vertical="center" wrapText="1"/>
    </xf>
    <xf numFmtId="178" fontId="5" fillId="0" borderId="0" xfId="0" applyNumberFormat="1" applyFont="1" applyAlignment="1">
      <alignment horizontal="left" vertical="center" wrapText="1"/>
    </xf>
    <xf numFmtId="176" fontId="5" fillId="0" borderId="0" xfId="0" applyNumberFormat="1" applyFont="1" applyAlignment="1">
      <alignment horizontal="left" vertical="center" wrapText="1"/>
    </xf>
    <xf numFmtId="176" fontId="48" fillId="0" borderId="0" xfId="0" applyNumberFormat="1" applyFont="1" applyAlignment="1">
      <alignment vertical="center" wrapText="1"/>
    </xf>
    <xf numFmtId="176" fontId="48" fillId="0" borderId="0" xfId="0" applyNumberFormat="1" applyFont="1">
      <alignment vertical="center"/>
    </xf>
    <xf numFmtId="176" fontId="51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176" fontId="46" fillId="3" borderId="2" xfId="0" applyNumberFormat="1" applyFont="1" applyFill="1" applyBorder="1" applyAlignment="1">
      <alignment horizontal="center" vertical="center" wrapText="1"/>
    </xf>
    <xf numFmtId="177" fontId="5" fillId="3" borderId="2" xfId="0" applyNumberFormat="1" applyFont="1" applyFill="1" applyBorder="1" applyAlignment="1">
      <alignment horizontal="center" vertical="center" wrapText="1"/>
    </xf>
    <xf numFmtId="0" fontId="46" fillId="3" borderId="2" xfId="0" applyFont="1" applyFill="1" applyBorder="1" applyAlignment="1">
      <alignment horizontal="center" vertical="center" wrapText="1"/>
    </xf>
    <xf numFmtId="176" fontId="5" fillId="3" borderId="3" xfId="0" applyNumberFormat="1" applyFont="1" applyFill="1" applyBorder="1" applyAlignment="1">
      <alignment horizontal="center" vertical="center" wrapText="1"/>
    </xf>
    <xf numFmtId="176" fontId="44" fillId="0" borderId="2" xfId="0" applyNumberFormat="1" applyFont="1" applyBorder="1" applyAlignment="1">
      <alignment horizontal="center" vertical="center" wrapText="1"/>
    </xf>
    <xf numFmtId="176" fontId="44" fillId="3" borderId="2" xfId="0" applyNumberFormat="1" applyFont="1" applyFill="1" applyBorder="1" applyAlignment="1">
      <alignment horizontal="center" vertical="center" wrapText="1"/>
    </xf>
    <xf numFmtId="177" fontId="44" fillId="3" borderId="2" xfId="0" applyNumberFormat="1" applyFont="1" applyFill="1" applyBorder="1" applyAlignment="1">
      <alignment horizontal="center" vertical="center" wrapText="1"/>
    </xf>
    <xf numFmtId="176" fontId="53" fillId="3" borderId="3" xfId="0" applyNumberFormat="1" applyFont="1" applyFill="1" applyBorder="1" applyAlignment="1">
      <alignment horizontal="center" vertical="center" wrapText="1"/>
    </xf>
    <xf numFmtId="176" fontId="53" fillId="3" borderId="2" xfId="0" applyNumberFormat="1" applyFont="1" applyFill="1" applyBorder="1" applyAlignment="1">
      <alignment horizontal="center" vertical="center" wrapText="1"/>
    </xf>
    <xf numFmtId="177" fontId="53" fillId="3" borderId="2" xfId="0" applyNumberFormat="1" applyFont="1" applyFill="1" applyBorder="1" applyAlignment="1">
      <alignment horizontal="center" vertical="center" wrapText="1"/>
    </xf>
    <xf numFmtId="0" fontId="53" fillId="3" borderId="2" xfId="0" applyFont="1" applyFill="1" applyBorder="1" applyAlignment="1">
      <alignment horizontal="center" vertical="center" wrapText="1"/>
    </xf>
    <xf numFmtId="176" fontId="44" fillId="0" borderId="3" xfId="0" applyNumberFormat="1" applyFont="1" applyBorder="1" applyAlignment="1">
      <alignment horizontal="center" vertical="center" wrapText="1"/>
    </xf>
    <xf numFmtId="177" fontId="44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76" fontId="44" fillId="3" borderId="3" xfId="0" applyNumberFormat="1" applyFont="1" applyFill="1" applyBorder="1" applyAlignment="1">
      <alignment horizontal="center" vertical="center" wrapText="1"/>
    </xf>
    <xf numFmtId="0" fontId="44" fillId="3" borderId="2" xfId="0" applyFont="1" applyFill="1" applyBorder="1" applyAlignment="1">
      <alignment horizontal="center" vertical="center" wrapText="1"/>
    </xf>
    <xf numFmtId="176" fontId="54" fillId="0" borderId="2" xfId="0" applyNumberFormat="1" applyFont="1" applyBorder="1" applyAlignment="1">
      <alignment horizontal="center" vertical="center" wrapText="1"/>
    </xf>
    <xf numFmtId="176" fontId="54" fillId="3" borderId="2" xfId="0" applyNumberFormat="1" applyFont="1" applyFill="1" applyBorder="1" applyAlignment="1">
      <alignment horizontal="center" vertical="center" wrapText="1"/>
    </xf>
    <xf numFmtId="176" fontId="55" fillId="0" borderId="2" xfId="0" applyNumberFormat="1" applyFont="1" applyBorder="1" applyAlignment="1">
      <alignment horizontal="center" vertical="center" wrapText="1"/>
    </xf>
    <xf numFmtId="176" fontId="55" fillId="3" borderId="2" xfId="0" applyNumberFormat="1" applyFont="1" applyFill="1" applyBorder="1" applyAlignment="1">
      <alignment horizontal="center" vertical="center" wrapText="1"/>
    </xf>
    <xf numFmtId="177" fontId="46" fillId="3" borderId="2" xfId="0" applyNumberFormat="1" applyFont="1" applyFill="1" applyBorder="1" applyAlignment="1">
      <alignment horizontal="center" vertical="center" wrapText="1"/>
    </xf>
    <xf numFmtId="176" fontId="54" fillId="0" borderId="16" xfId="0" applyNumberFormat="1" applyFont="1" applyBorder="1" applyAlignment="1">
      <alignment horizontal="center" vertical="center" wrapText="1"/>
    </xf>
    <xf numFmtId="176" fontId="54" fillId="3" borderId="17" xfId="0" applyNumberFormat="1" applyFont="1" applyFill="1" applyBorder="1" applyAlignment="1">
      <alignment horizontal="center" vertical="center" wrapText="1"/>
    </xf>
    <xf numFmtId="176" fontId="51" fillId="0" borderId="16" xfId="0" applyNumberFormat="1" applyFont="1" applyBorder="1" applyAlignment="1">
      <alignment horizontal="center" vertical="center" wrapText="1"/>
    </xf>
    <xf numFmtId="176" fontId="51" fillId="3" borderId="18" xfId="0" applyNumberFormat="1" applyFont="1" applyFill="1" applyBorder="1" applyAlignment="1">
      <alignment horizontal="center" vertical="center" wrapText="1"/>
    </xf>
    <xf numFmtId="176" fontId="54" fillId="0" borderId="18" xfId="0" applyNumberFormat="1" applyFont="1" applyBorder="1" applyAlignment="1">
      <alignment horizontal="center" vertical="center" wrapText="1"/>
    </xf>
    <xf numFmtId="176" fontId="54" fillId="3" borderId="18" xfId="0" applyNumberFormat="1" applyFont="1" applyFill="1" applyBorder="1" applyAlignment="1">
      <alignment horizontal="center" vertical="center" wrapText="1"/>
    </xf>
    <xf numFmtId="176" fontId="51" fillId="0" borderId="18" xfId="0" applyNumberFormat="1" applyFont="1" applyBorder="1" applyAlignment="1">
      <alignment horizontal="center" vertical="center" wrapText="1"/>
    </xf>
    <xf numFmtId="176" fontId="51" fillId="3" borderId="17" xfId="0" applyNumberFormat="1" applyFont="1" applyFill="1" applyBorder="1" applyAlignment="1">
      <alignment horizontal="center" vertical="center" wrapText="1"/>
    </xf>
    <xf numFmtId="176" fontId="51" fillId="0" borderId="19" xfId="0" applyNumberFormat="1" applyFont="1" applyBorder="1" applyAlignment="1">
      <alignment horizontal="center" vertical="center" wrapText="1"/>
    </xf>
    <xf numFmtId="176" fontId="5" fillId="0" borderId="7" xfId="0" applyNumberFormat="1" applyFont="1" applyBorder="1" applyAlignment="1">
      <alignment horizontal="center" vertical="center" wrapText="1"/>
    </xf>
    <xf numFmtId="176" fontId="46" fillId="0" borderId="5" xfId="0" applyNumberFormat="1" applyFont="1" applyBorder="1" applyAlignment="1">
      <alignment horizontal="center" vertical="center" wrapText="1"/>
    </xf>
    <xf numFmtId="177" fontId="5" fillId="0" borderId="5" xfId="0" applyNumberFormat="1" applyFont="1" applyBorder="1" applyAlignment="1">
      <alignment horizontal="center" vertical="center" wrapText="1"/>
    </xf>
    <xf numFmtId="0" fontId="46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76" fontId="41" fillId="0" borderId="1" xfId="0" applyNumberFormat="1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48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 wrapText="1"/>
    </xf>
    <xf numFmtId="176" fontId="5" fillId="0" borderId="15" xfId="0" applyNumberFormat="1" applyFont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 wrapText="1"/>
    </xf>
    <xf numFmtId="176" fontId="55" fillId="0" borderId="2" xfId="0" applyNumberFormat="1" applyFont="1" applyBorder="1" applyAlignment="1">
      <alignment horizontal="center" vertical="center" wrapText="1"/>
    </xf>
    <xf numFmtId="176" fontId="48" fillId="0" borderId="2" xfId="0" applyNumberFormat="1" applyFont="1" applyBorder="1" applyAlignment="1">
      <alignment horizontal="center" vertical="center" wrapText="1"/>
    </xf>
    <xf numFmtId="176" fontId="48" fillId="0" borderId="6" xfId="0" applyNumberFormat="1" applyFont="1" applyBorder="1" applyAlignment="1">
      <alignment horizontal="center" vertical="center" wrapText="1"/>
    </xf>
    <xf numFmtId="176" fontId="48" fillId="0" borderId="5" xfId="0" applyNumberFormat="1" applyFont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</cellXfs>
  <cellStyles count="2">
    <cellStyle name="一般" xfId="0" builtinId="0"/>
    <cellStyle name="一般 2" xfId="1" xr:uid="{6A343CA2-F073-4692-95E6-6BDDC181F904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676275</xdr:colOff>
      <xdr:row>260</xdr:row>
      <xdr:rowOff>81641</xdr:rowOff>
    </xdr:from>
    <xdr:to>
      <xdr:col>61</xdr:col>
      <xdr:colOff>0</xdr:colOff>
      <xdr:row>260</xdr:row>
      <xdr:rowOff>81641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182CBDD4-ACE8-4C9E-8794-21520687450E}"/>
            </a:ext>
          </a:extLst>
        </xdr:cNvPr>
        <xdr:cNvCxnSpPr/>
      </xdr:nvCxnSpPr>
      <xdr:spPr>
        <a:xfrm>
          <a:off x="4076700" y="54564641"/>
          <a:ext cx="384143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237</xdr:row>
      <xdr:rowOff>9525</xdr:rowOff>
    </xdr:from>
    <xdr:to>
      <xdr:col>24</xdr:col>
      <xdr:colOff>661147</xdr:colOff>
      <xdr:row>237</xdr:row>
      <xdr:rowOff>22411</xdr:rowOff>
    </xdr:to>
    <xdr:cxnSp macro="">
      <xdr:nvCxnSpPr>
        <xdr:cNvPr id="3" name="直線單箭頭接點 2">
          <a:extLst>
            <a:ext uri="{FF2B5EF4-FFF2-40B4-BE49-F238E27FC236}">
              <a16:creationId xmlns:a16="http://schemas.microsoft.com/office/drawing/2014/main" id="{4F742663-1483-4D13-81DC-E5B5E77B414D}"/>
            </a:ext>
          </a:extLst>
        </xdr:cNvPr>
        <xdr:cNvCxnSpPr/>
      </xdr:nvCxnSpPr>
      <xdr:spPr>
        <a:xfrm>
          <a:off x="3400425" y="49672875"/>
          <a:ext cx="14377147" cy="12886"/>
        </a:xfrm>
        <a:prstGeom prst="straightConnector1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245</xdr:row>
      <xdr:rowOff>9525</xdr:rowOff>
    </xdr:from>
    <xdr:to>
      <xdr:col>24</xdr:col>
      <xdr:colOff>661147</xdr:colOff>
      <xdr:row>245</xdr:row>
      <xdr:rowOff>22411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1EA73235-5126-42A0-B8EC-26E41651DCD8}"/>
            </a:ext>
          </a:extLst>
        </xdr:cNvPr>
        <xdr:cNvCxnSpPr/>
      </xdr:nvCxnSpPr>
      <xdr:spPr>
        <a:xfrm>
          <a:off x="3400425" y="51349275"/>
          <a:ext cx="14377147" cy="12886"/>
        </a:xfrm>
        <a:prstGeom prst="straightConnector1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2522;TooL\&#24040;&#22522;&#38598;\4N(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2522;TooL\&#24040;&#22522;&#38598;\2011&#26691;&#22290;4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blic\&#20844;&#29992;&#38651;&#33126;&#36039;&#26009;&#24235;%20(e)\&#36335;&#21475;&#25972;&#29702;&#34920;\Int4N_OLD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blic\&#20844;&#29992;&#38651;&#33126;&#36039;&#26009;&#24235;%20(e)\2010%20&#38663;&#23536;%20&#26691;&#22290;\&#26691;&#22290;&#23436;&#25972;&#29256;\&#26691;&#22290;&#38663;&#23536;&#29256;\&#20013;&#22754;&#24066;-&#29872;&#21271;&#36335;~&#26032;&#29983;&#36335;\Int4N_OL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blic\&#20844;&#29992;&#38651;&#33126;&#36039;&#26009;&#24235;%20(e)\2010%20&#38663;&#23536;%20&#26691;&#22290;\&#26691;&#22290;&#23436;&#25972;&#29256;\&#29872;&#21271;&#36335;~&#26032;&#29983;&#36335;(&#26691;&#22290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2522;TooL\&#24040;&#22522;&#38598;\20121218%20&#38598;&#36066;4N(&#19990;&#26342;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賢"/>
      <sheetName val="圖"/>
      <sheetName val="基本"/>
      <sheetName val="時制"/>
      <sheetName val="累計"/>
      <sheetName val="平日"/>
      <sheetName val="累計(2)"/>
      <sheetName val="假日"/>
      <sheetName val="計算"/>
      <sheetName val="通用"/>
      <sheetName val="易緯"/>
      <sheetName val="鼎漢"/>
      <sheetName val="鼎漢L"/>
      <sheetName val="美聯"/>
      <sheetName val="世曦"/>
    </sheetNames>
    <sheetDataSet>
      <sheetData sheetId="0"/>
      <sheetData sheetId="1"/>
      <sheetData sheetId="2">
        <row r="35">
          <cell r="B35">
            <v>2</v>
          </cell>
          <cell r="C35">
            <v>1.05</v>
          </cell>
          <cell r="D35">
            <v>0.43</v>
          </cell>
          <cell r="E35">
            <v>0</v>
          </cell>
          <cell r="F35">
            <v>1.8</v>
          </cell>
          <cell r="G35">
            <v>1</v>
          </cell>
          <cell r="H35">
            <v>0.42</v>
          </cell>
          <cell r="I35">
            <v>2.7</v>
          </cell>
          <cell r="J35">
            <v>1.08</v>
          </cell>
          <cell r="K35">
            <v>0.45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"/>
      <sheetName val="調查"/>
      <sheetName val="計算"/>
      <sheetName val="表4計算"/>
      <sheetName val="時制"/>
      <sheetName val="表"/>
      <sheetName val="圖"/>
      <sheetName val="圖1路口幾何圖"/>
      <sheetName val="表1路口轉向交通量"/>
      <sheetName val="表2尖峰小時交通量"/>
      <sheetName val="表4號誌設置評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"/>
      <sheetName val="調查"/>
      <sheetName val="時段"/>
      <sheetName val="當量"/>
      <sheetName val="計算OD"/>
      <sheetName val="表OD"/>
      <sheetName val="圖"/>
      <sheetName val="基本格式"/>
      <sheetName val="統計格式"/>
      <sheetName val="圖OD"/>
    </sheetNames>
    <sheetDataSet>
      <sheetData sheetId="0">
        <row r="1">
          <cell r="G1">
            <v>0</v>
          </cell>
        </row>
        <row r="5">
          <cell r="E5">
            <v>0</v>
          </cell>
          <cell r="I5">
            <v>0</v>
          </cell>
        </row>
        <row r="6">
          <cell r="C6" t="str">
            <v>(Sat)</v>
          </cell>
        </row>
        <row r="9">
          <cell r="G9">
            <v>0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"/>
      <sheetName val="調查"/>
      <sheetName val="時段"/>
      <sheetName val="當量"/>
      <sheetName val="計算OD"/>
      <sheetName val="表OD"/>
      <sheetName val="圖"/>
      <sheetName val="基本格式"/>
      <sheetName val="統計格式"/>
      <sheetName val="圖OD"/>
    </sheetNames>
    <sheetDataSet>
      <sheetData sheetId="0">
        <row r="6">
          <cell r="C6" t="str">
            <v>(Sat)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本"/>
      <sheetName val="調查"/>
      <sheetName val="時制"/>
      <sheetName val="當量"/>
      <sheetName val="計算"/>
      <sheetName val="表"/>
      <sheetName val="圖"/>
      <sheetName val="圖1路口幾何圖"/>
      <sheetName val="表1路口轉向交通量"/>
      <sheetName val="表2尖峰小時交通量"/>
    </sheetNames>
    <sheetDataSet>
      <sheetData sheetId="0"/>
      <sheetData sheetId="1"/>
      <sheetData sheetId="2"/>
      <sheetData sheetId="3"/>
      <sheetData sheetId="4">
        <row r="3">
          <cell r="Y3">
            <v>23433.900000000005</v>
          </cell>
        </row>
      </sheetData>
      <sheetData sheetId="5">
        <row r="1">
          <cell r="B1" t="str">
            <v>站　號：</v>
          </cell>
          <cell r="C1" t="str">
            <v xml:space="preserve"> </v>
          </cell>
          <cell r="K1" t="str">
            <v>站名：</v>
          </cell>
          <cell r="L1" t="str">
            <v>環北路~新生路</v>
          </cell>
          <cell r="Q1" t="str">
            <v>註：</v>
          </cell>
          <cell r="R1" t="str">
            <v>無管制</v>
          </cell>
          <cell r="AA1" t="str">
            <v>新生路</v>
          </cell>
          <cell r="AD1" t="str">
            <v>N</v>
          </cell>
        </row>
        <row r="2">
          <cell r="B2" t="str">
            <v>時相數：</v>
          </cell>
          <cell r="C2" t="str">
            <v>3</v>
          </cell>
          <cell r="K2" t="str">
            <v>日期：</v>
          </cell>
          <cell r="L2" t="str">
            <v>4/16(Fri)</v>
          </cell>
          <cell r="R2" t="str">
            <v/>
          </cell>
          <cell r="AA2" t="str">
            <v>D</v>
          </cell>
          <cell r="AD2" t="str">
            <v>↑</v>
          </cell>
        </row>
        <row r="3">
          <cell r="B3" t="str">
            <v>方　向：</v>
          </cell>
          <cell r="C3" t="str">
            <v>A</v>
          </cell>
          <cell r="D3" t="str">
            <v>B</v>
          </cell>
          <cell r="E3" t="str">
            <v>C</v>
          </cell>
          <cell r="F3" t="str">
            <v>D</v>
          </cell>
          <cell r="K3" t="str">
            <v>天候：</v>
          </cell>
          <cell r="L3" t="str">
            <v>陰</v>
          </cell>
          <cell r="R3" t="str">
            <v/>
          </cell>
          <cell r="Y3" t="str">
            <v>環北路</v>
          </cell>
          <cell r="Z3" t="str">
            <v>C</v>
          </cell>
          <cell r="AB3" t="str">
            <v>A</v>
          </cell>
          <cell r="AC3" t="str">
            <v>環北路</v>
          </cell>
        </row>
        <row r="4">
          <cell r="B4" t="str">
            <v>車道數：</v>
          </cell>
          <cell r="C4" t="str">
            <v>3</v>
          </cell>
          <cell r="D4" t="str">
            <v>2</v>
          </cell>
          <cell r="E4" t="str">
            <v>3</v>
          </cell>
          <cell r="F4" t="str">
            <v>3</v>
          </cell>
          <cell r="R4" t="str">
            <v/>
          </cell>
          <cell r="AA4" t="str">
            <v>B</v>
          </cell>
        </row>
        <row r="5">
          <cell r="AA5" t="str">
            <v>新生路</v>
          </cell>
        </row>
        <row r="7">
          <cell r="A7" t="str">
            <v>方</v>
          </cell>
          <cell r="B7" t="str">
            <v>時</v>
          </cell>
          <cell r="D7" t="str">
            <v>左轉</v>
          </cell>
          <cell r="K7" t="str">
            <v>直進</v>
          </cell>
          <cell r="Q7" t="str">
            <v>右轉</v>
          </cell>
          <cell r="W7" t="str">
            <v>合計</v>
          </cell>
        </row>
        <row r="8">
          <cell r="D8" t="str">
            <v>大型車</v>
          </cell>
          <cell r="E8" t="str">
            <v>小型車</v>
          </cell>
          <cell r="F8" t="str">
            <v>機車</v>
          </cell>
          <cell r="G8" t="str">
            <v>PCU</v>
          </cell>
          <cell r="H8" t="str">
            <v>轉向比</v>
          </cell>
          <cell r="I8" t="str">
            <v>機車二段</v>
          </cell>
          <cell r="K8" t="str">
            <v>大型車</v>
          </cell>
          <cell r="L8" t="str">
            <v>小型車</v>
          </cell>
          <cell r="M8" t="str">
            <v>機車</v>
          </cell>
          <cell r="N8" t="str">
            <v>PCU</v>
          </cell>
          <cell r="O8" t="str">
            <v>轉向比</v>
          </cell>
          <cell r="Q8" t="str">
            <v>大型車</v>
          </cell>
          <cell r="R8" t="str">
            <v>小型車</v>
          </cell>
          <cell r="S8" t="str">
            <v>機車</v>
          </cell>
          <cell r="T8" t="str">
            <v>PCU</v>
          </cell>
          <cell r="U8" t="str">
            <v>轉向比</v>
          </cell>
          <cell r="W8" t="str">
            <v>大型車</v>
          </cell>
          <cell r="X8" t="str">
            <v>車種</v>
          </cell>
          <cell r="Y8" t="str">
            <v>小型車</v>
          </cell>
          <cell r="Z8" t="str">
            <v>車種</v>
          </cell>
          <cell r="AA8" t="str">
            <v>機車</v>
          </cell>
          <cell r="AB8" t="str">
            <v>車種</v>
          </cell>
          <cell r="AC8" t="str">
            <v>PCU</v>
          </cell>
        </row>
        <row r="9">
          <cell r="A9" t="str">
            <v>向</v>
          </cell>
          <cell r="B9" t="str">
            <v>間</v>
          </cell>
          <cell r="D9" t="str">
            <v>(輛)</v>
          </cell>
          <cell r="E9" t="str">
            <v>(輛)</v>
          </cell>
          <cell r="F9" t="str">
            <v>(輛)</v>
          </cell>
          <cell r="I9" t="str">
            <v>(輛)</v>
          </cell>
          <cell r="K9" t="str">
            <v>(輛)</v>
          </cell>
          <cell r="L9" t="str">
            <v>(輛)</v>
          </cell>
          <cell r="M9" t="str">
            <v>(輛)</v>
          </cell>
          <cell r="Q9" t="str">
            <v>(輛)</v>
          </cell>
          <cell r="R9" t="str">
            <v>(輛)</v>
          </cell>
          <cell r="S9" t="str">
            <v>(輛)</v>
          </cell>
          <cell r="W9" t="str">
            <v>(輛)</v>
          </cell>
          <cell r="X9" t="str">
            <v>比例</v>
          </cell>
          <cell r="Y9" t="str">
            <v>(輛)</v>
          </cell>
          <cell r="Z9" t="str">
            <v>比例</v>
          </cell>
          <cell r="AA9" t="str">
            <v>(輛)</v>
          </cell>
          <cell r="AB9" t="str">
            <v>比例</v>
          </cell>
          <cell r="AD9" t="str">
            <v>PHF</v>
          </cell>
        </row>
        <row r="10">
          <cell r="A10" t="str">
            <v>A</v>
          </cell>
          <cell r="B10" t="str">
            <v>07:00-08:00</v>
          </cell>
          <cell r="D10">
            <v>0</v>
          </cell>
          <cell r="E10">
            <v>8</v>
          </cell>
          <cell r="F10">
            <v>1</v>
          </cell>
          <cell r="G10">
            <v>13</v>
          </cell>
          <cell r="H10">
            <v>7.131102578167855E-3</v>
          </cell>
          <cell r="I10">
            <v>1</v>
          </cell>
          <cell r="K10">
            <v>25</v>
          </cell>
          <cell r="L10">
            <v>983</v>
          </cell>
          <cell r="M10">
            <v>863</v>
          </cell>
          <cell r="N10">
            <v>1279</v>
          </cell>
          <cell r="O10">
            <v>0.70159078442128364</v>
          </cell>
          <cell r="Q10">
            <v>1</v>
          </cell>
          <cell r="R10">
            <v>357</v>
          </cell>
          <cell r="S10">
            <v>161</v>
          </cell>
          <cell r="T10">
            <v>531</v>
          </cell>
          <cell r="U10">
            <v>0.29127811300054857</v>
          </cell>
          <cell r="W10">
            <v>26</v>
          </cell>
          <cell r="X10">
            <v>1.0837849103793247E-2</v>
          </cell>
          <cell r="Y10">
            <v>1348</v>
          </cell>
          <cell r="Z10">
            <v>0.56190079199666532</v>
          </cell>
          <cell r="AA10">
            <v>1025</v>
          </cell>
          <cell r="AB10">
            <v>0.42726135889954148</v>
          </cell>
          <cell r="AC10">
            <v>1823</v>
          </cell>
        </row>
        <row r="11">
          <cell r="B11" t="str">
            <v>08:00-09:00</v>
          </cell>
          <cell r="D11">
            <v>0</v>
          </cell>
          <cell r="E11">
            <v>21</v>
          </cell>
          <cell r="F11">
            <v>4</v>
          </cell>
          <cell r="G11">
            <v>34</v>
          </cell>
          <cell r="H11">
            <v>2.5129342202512936E-2</v>
          </cell>
          <cell r="I11">
            <v>3</v>
          </cell>
          <cell r="K11">
            <v>23</v>
          </cell>
          <cell r="L11">
            <v>805</v>
          </cell>
          <cell r="M11">
            <v>469</v>
          </cell>
          <cell r="N11">
            <v>980</v>
          </cell>
          <cell r="O11">
            <v>0.72431633407243168</v>
          </cell>
          <cell r="Q11">
            <v>3</v>
          </cell>
          <cell r="R11">
            <v>219</v>
          </cell>
          <cell r="S11">
            <v>120</v>
          </cell>
          <cell r="T11">
            <v>339</v>
          </cell>
          <cell r="U11">
            <v>0.25055432372505543</v>
          </cell>
          <cell r="W11">
            <v>26</v>
          </cell>
          <cell r="X11">
            <v>1.5625E-2</v>
          </cell>
          <cell r="Y11">
            <v>1045</v>
          </cell>
          <cell r="Z11">
            <v>0.62800480769230771</v>
          </cell>
          <cell r="AA11">
            <v>593</v>
          </cell>
          <cell r="AB11">
            <v>0.35637019230769229</v>
          </cell>
          <cell r="AC11">
            <v>1353</v>
          </cell>
        </row>
        <row r="12">
          <cell r="B12" t="str">
            <v>17:00-18:00</v>
          </cell>
          <cell r="D12">
            <v>0</v>
          </cell>
          <cell r="E12">
            <v>46</v>
          </cell>
          <cell r="F12">
            <v>4</v>
          </cell>
          <cell r="G12">
            <v>71</v>
          </cell>
          <cell r="H12">
            <v>5.436447166921899E-2</v>
          </cell>
          <cell r="I12">
            <v>19</v>
          </cell>
          <cell r="K12">
            <v>36</v>
          </cell>
          <cell r="L12">
            <v>750</v>
          </cell>
          <cell r="M12">
            <v>553</v>
          </cell>
          <cell r="N12">
            <v>970</v>
          </cell>
          <cell r="O12">
            <v>0.74272588055130173</v>
          </cell>
          <cell r="Q12">
            <v>0</v>
          </cell>
          <cell r="R12">
            <v>170</v>
          </cell>
          <cell r="S12">
            <v>110</v>
          </cell>
          <cell r="T12">
            <v>265</v>
          </cell>
          <cell r="U12">
            <v>0.20290964777947931</v>
          </cell>
          <cell r="W12">
            <v>36</v>
          </cell>
          <cell r="X12">
            <v>2.1569802276812461E-2</v>
          </cell>
          <cell r="Y12">
            <v>966</v>
          </cell>
          <cell r="Z12">
            <v>0.57878969442780104</v>
          </cell>
          <cell r="AA12">
            <v>667</v>
          </cell>
          <cell r="AB12">
            <v>0.39964050329538647</v>
          </cell>
          <cell r="AC12">
            <v>1306</v>
          </cell>
        </row>
        <row r="13">
          <cell r="B13" t="str">
            <v>18:00-19:00</v>
          </cell>
          <cell r="D13">
            <v>1</v>
          </cell>
          <cell r="E13">
            <v>38</v>
          </cell>
          <cell r="F13">
            <v>6</v>
          </cell>
          <cell r="G13">
            <v>62</v>
          </cell>
          <cell r="H13">
            <v>4.7655649500384319E-2</v>
          </cell>
          <cell r="I13">
            <v>17</v>
          </cell>
          <cell r="K13">
            <v>13</v>
          </cell>
          <cell r="L13">
            <v>764</v>
          </cell>
          <cell r="M13">
            <v>547</v>
          </cell>
          <cell r="N13">
            <v>948</v>
          </cell>
          <cell r="O13">
            <v>0.72867025365103766</v>
          </cell>
          <cell r="Q13">
            <v>0</v>
          </cell>
          <cell r="R13">
            <v>179</v>
          </cell>
          <cell r="S13">
            <v>146</v>
          </cell>
          <cell r="T13">
            <v>291</v>
          </cell>
          <cell r="U13">
            <v>0.22367409684857803</v>
          </cell>
          <cell r="W13">
            <v>14</v>
          </cell>
          <cell r="X13">
            <v>8.2644628099173556E-3</v>
          </cell>
          <cell r="Y13">
            <v>981</v>
          </cell>
          <cell r="Z13">
            <v>0.57910271546635184</v>
          </cell>
          <cell r="AA13">
            <v>699</v>
          </cell>
          <cell r="AB13">
            <v>0.41263282172373084</v>
          </cell>
          <cell r="AC13">
            <v>1301</v>
          </cell>
        </row>
        <row r="15">
          <cell r="A15" t="str">
            <v>B</v>
          </cell>
          <cell r="B15" t="str">
            <v>07:00-08:00</v>
          </cell>
          <cell r="D15">
            <v>2</v>
          </cell>
          <cell r="E15">
            <v>60</v>
          </cell>
          <cell r="F15">
            <v>12</v>
          </cell>
          <cell r="G15">
            <v>101</v>
          </cell>
          <cell r="H15">
            <v>0.13911845730027547</v>
          </cell>
          <cell r="I15">
            <v>4</v>
          </cell>
          <cell r="K15">
            <v>11</v>
          </cell>
          <cell r="L15">
            <v>358</v>
          </cell>
          <cell r="M15">
            <v>801</v>
          </cell>
          <cell r="N15">
            <v>615</v>
          </cell>
          <cell r="O15">
            <v>0.84710743801652888</v>
          </cell>
          <cell r="Q15">
            <v>0</v>
          </cell>
          <cell r="R15">
            <v>6</v>
          </cell>
          <cell r="S15">
            <v>6</v>
          </cell>
          <cell r="T15">
            <v>10</v>
          </cell>
          <cell r="U15">
            <v>1.3774104683195593E-2</v>
          </cell>
          <cell r="W15">
            <v>13</v>
          </cell>
          <cell r="X15">
            <v>1.0350318471337579E-2</v>
          </cell>
          <cell r="Y15">
            <v>424</v>
          </cell>
          <cell r="Z15">
            <v>0.33757961783439489</v>
          </cell>
          <cell r="AA15">
            <v>819</v>
          </cell>
          <cell r="AB15">
            <v>0.65207006369426757</v>
          </cell>
          <cell r="AC15">
            <v>726</v>
          </cell>
        </row>
        <row r="16">
          <cell r="B16" t="str">
            <v>08:00-09:00</v>
          </cell>
          <cell r="D16">
            <v>2</v>
          </cell>
          <cell r="E16">
            <v>87</v>
          </cell>
          <cell r="F16">
            <v>16</v>
          </cell>
          <cell r="G16">
            <v>143</v>
          </cell>
          <cell r="H16">
            <v>0.21832061068702291</v>
          </cell>
          <cell r="I16">
            <v>0</v>
          </cell>
          <cell r="K16">
            <v>10</v>
          </cell>
          <cell r="L16">
            <v>327</v>
          </cell>
          <cell r="M16">
            <v>533</v>
          </cell>
          <cell r="N16">
            <v>502</v>
          </cell>
          <cell r="O16">
            <v>0.76641221374045798</v>
          </cell>
          <cell r="Q16">
            <v>1</v>
          </cell>
          <cell r="R16">
            <v>4</v>
          </cell>
          <cell r="S16">
            <v>8</v>
          </cell>
          <cell r="T16">
            <v>10</v>
          </cell>
          <cell r="U16">
            <v>1.5267175572519083E-2</v>
          </cell>
          <cell r="W16">
            <v>13</v>
          </cell>
          <cell r="X16">
            <v>1.3157894736842105E-2</v>
          </cell>
          <cell r="Y16">
            <v>418</v>
          </cell>
          <cell r="Z16">
            <v>0.42307692307692307</v>
          </cell>
          <cell r="AA16">
            <v>557</v>
          </cell>
          <cell r="AB16">
            <v>0.56376518218623484</v>
          </cell>
          <cell r="AC16">
            <v>655</v>
          </cell>
        </row>
        <row r="17">
          <cell r="B17" t="str">
            <v>17:00-18:00</v>
          </cell>
          <cell r="D17">
            <v>0</v>
          </cell>
          <cell r="E17">
            <v>87</v>
          </cell>
          <cell r="F17">
            <v>22</v>
          </cell>
          <cell r="G17">
            <v>142</v>
          </cell>
          <cell r="H17">
            <v>0.24482758620689654</v>
          </cell>
          <cell r="I17">
            <v>3</v>
          </cell>
          <cell r="K17">
            <v>9</v>
          </cell>
          <cell r="L17">
            <v>225</v>
          </cell>
          <cell r="M17">
            <v>504</v>
          </cell>
          <cell r="N17">
            <v>390</v>
          </cell>
          <cell r="O17">
            <v>0.67241379310344829</v>
          </cell>
          <cell r="Q17">
            <v>0</v>
          </cell>
          <cell r="R17">
            <v>34</v>
          </cell>
          <cell r="S17">
            <v>9</v>
          </cell>
          <cell r="T17">
            <v>48</v>
          </cell>
          <cell r="U17">
            <v>8.2758620689655171E-2</v>
          </cell>
          <cell r="W17">
            <v>9</v>
          </cell>
          <cell r="X17">
            <v>1.0112359550561797E-2</v>
          </cell>
          <cell r="Y17">
            <v>346</v>
          </cell>
          <cell r="Z17">
            <v>0.38876404494382022</v>
          </cell>
          <cell r="AA17">
            <v>535</v>
          </cell>
          <cell r="AB17">
            <v>0.601123595505618</v>
          </cell>
          <cell r="AC17">
            <v>580</v>
          </cell>
        </row>
        <row r="18">
          <cell r="B18" t="str">
            <v>18:00-19:00</v>
          </cell>
          <cell r="D18">
            <v>2</v>
          </cell>
          <cell r="E18">
            <v>82</v>
          </cell>
          <cell r="F18">
            <v>22</v>
          </cell>
          <cell r="G18">
            <v>139</v>
          </cell>
          <cell r="H18">
            <v>0.19971264367816091</v>
          </cell>
          <cell r="I18">
            <v>2</v>
          </cell>
          <cell r="K18">
            <v>6</v>
          </cell>
          <cell r="L18">
            <v>255</v>
          </cell>
          <cell r="M18">
            <v>773</v>
          </cell>
          <cell r="N18">
            <v>496</v>
          </cell>
          <cell r="O18">
            <v>0.71264367816091956</v>
          </cell>
          <cell r="Q18">
            <v>0</v>
          </cell>
          <cell r="R18">
            <v>42</v>
          </cell>
          <cell r="S18">
            <v>17</v>
          </cell>
          <cell r="T18">
            <v>61</v>
          </cell>
          <cell r="U18">
            <v>8.7643678160919544E-2</v>
          </cell>
          <cell r="W18">
            <v>8</v>
          </cell>
          <cell r="X18">
            <v>6.672226855713094E-3</v>
          </cell>
          <cell r="Y18">
            <v>379</v>
          </cell>
          <cell r="Z18">
            <v>0.31609674728940784</v>
          </cell>
          <cell r="AA18">
            <v>812</v>
          </cell>
          <cell r="AB18">
            <v>0.67723102585487904</v>
          </cell>
          <cell r="AC18">
            <v>696</v>
          </cell>
        </row>
        <row r="20">
          <cell r="A20" t="str">
            <v>C</v>
          </cell>
          <cell r="B20" t="str">
            <v>07:00-08:00</v>
          </cell>
          <cell r="D20">
            <v>13</v>
          </cell>
          <cell r="E20">
            <v>469</v>
          </cell>
          <cell r="F20">
            <v>252</v>
          </cell>
          <cell r="G20">
            <v>859</v>
          </cell>
          <cell r="H20">
            <v>0.38314005352363961</v>
          </cell>
          <cell r="I20">
            <v>570</v>
          </cell>
          <cell r="K20">
            <v>29</v>
          </cell>
          <cell r="L20">
            <v>861</v>
          </cell>
          <cell r="M20">
            <v>1353</v>
          </cell>
          <cell r="N20">
            <v>1310</v>
          </cell>
          <cell r="O20">
            <v>0.584299732381802</v>
          </cell>
          <cell r="Q20">
            <v>0</v>
          </cell>
          <cell r="R20">
            <v>47</v>
          </cell>
          <cell r="S20">
            <v>30</v>
          </cell>
          <cell r="T20">
            <v>73</v>
          </cell>
          <cell r="U20">
            <v>3.2560214094558428E-2</v>
          </cell>
          <cell r="W20">
            <v>42</v>
          </cell>
          <cell r="X20">
            <v>1.37524557956778E-2</v>
          </cell>
          <cell r="Y20">
            <v>1377</v>
          </cell>
          <cell r="Z20">
            <v>0.45088408644400785</v>
          </cell>
          <cell r="AA20">
            <v>1635</v>
          </cell>
          <cell r="AB20">
            <v>0.53536345776031435</v>
          </cell>
          <cell r="AC20">
            <v>2242</v>
          </cell>
        </row>
        <row r="21">
          <cell r="B21" t="str">
            <v>08:00-09:00</v>
          </cell>
          <cell r="D21">
            <v>10</v>
          </cell>
          <cell r="E21">
            <v>498</v>
          </cell>
          <cell r="F21">
            <v>117</v>
          </cell>
          <cell r="G21">
            <v>829</v>
          </cell>
          <cell r="H21">
            <v>0.4172118772018118</v>
          </cell>
          <cell r="I21">
            <v>184</v>
          </cell>
          <cell r="K21">
            <v>29</v>
          </cell>
          <cell r="L21">
            <v>773</v>
          </cell>
          <cell r="M21">
            <v>888</v>
          </cell>
          <cell r="N21">
            <v>1083</v>
          </cell>
          <cell r="O21">
            <v>0.54504277805737289</v>
          </cell>
          <cell r="Q21">
            <v>1</v>
          </cell>
          <cell r="R21">
            <v>49</v>
          </cell>
          <cell r="S21">
            <v>23</v>
          </cell>
          <cell r="T21">
            <v>75</v>
          </cell>
          <cell r="U21">
            <v>3.7745344740815298E-2</v>
          </cell>
          <cell r="W21">
            <v>40</v>
          </cell>
          <cell r="X21">
            <v>1.675041876046901E-2</v>
          </cell>
          <cell r="Y21">
            <v>1320</v>
          </cell>
          <cell r="Z21">
            <v>0.55276381909547734</v>
          </cell>
          <cell r="AA21">
            <v>1028</v>
          </cell>
          <cell r="AB21">
            <v>0.4304857621440536</v>
          </cell>
          <cell r="AC21">
            <v>1987</v>
          </cell>
        </row>
        <row r="22">
          <cell r="B22" t="str">
            <v>17:00-18:00</v>
          </cell>
          <cell r="D22">
            <v>8</v>
          </cell>
          <cell r="E22">
            <v>286</v>
          </cell>
          <cell r="F22">
            <v>40</v>
          </cell>
          <cell r="G22">
            <v>467</v>
          </cell>
          <cell r="H22">
            <v>0.23538306451612903</v>
          </cell>
          <cell r="I22">
            <v>175</v>
          </cell>
          <cell r="K22">
            <v>29</v>
          </cell>
          <cell r="L22">
            <v>975</v>
          </cell>
          <cell r="M22">
            <v>1097</v>
          </cell>
          <cell r="N22">
            <v>1348</v>
          </cell>
          <cell r="O22">
            <v>0.67943548387096775</v>
          </cell>
          <cell r="Q22">
            <v>1</v>
          </cell>
          <cell r="R22">
            <v>112</v>
          </cell>
          <cell r="S22">
            <v>53</v>
          </cell>
          <cell r="T22">
            <v>169</v>
          </cell>
          <cell r="U22">
            <v>8.518145161290322E-2</v>
          </cell>
          <cell r="W22">
            <v>38</v>
          </cell>
          <cell r="X22">
            <v>1.4609765474817378E-2</v>
          </cell>
          <cell r="Y22">
            <v>1373</v>
          </cell>
          <cell r="Z22">
            <v>0.52787389465590162</v>
          </cell>
          <cell r="AA22">
            <v>1190</v>
          </cell>
          <cell r="AB22">
            <v>0.45751633986928103</v>
          </cell>
          <cell r="AC22">
            <v>1984</v>
          </cell>
        </row>
        <row r="23">
          <cell r="B23" t="str">
            <v>18:00-19:00</v>
          </cell>
          <cell r="D23">
            <v>15</v>
          </cell>
          <cell r="E23">
            <v>268</v>
          </cell>
          <cell r="F23">
            <v>50</v>
          </cell>
          <cell r="G23">
            <v>462</v>
          </cell>
          <cell r="H23">
            <v>0.20886075949367089</v>
          </cell>
          <cell r="I23">
            <v>226</v>
          </cell>
          <cell r="K23">
            <v>14</v>
          </cell>
          <cell r="L23">
            <v>1191</v>
          </cell>
          <cell r="M23">
            <v>1105</v>
          </cell>
          <cell r="N23">
            <v>1544</v>
          </cell>
          <cell r="O23">
            <v>0.69801084990958406</v>
          </cell>
          <cell r="Q23">
            <v>2</v>
          </cell>
          <cell r="R23">
            <v>144</v>
          </cell>
          <cell r="S23">
            <v>38</v>
          </cell>
          <cell r="T23">
            <v>206</v>
          </cell>
          <cell r="U23">
            <v>9.3128390596745034E-2</v>
          </cell>
          <cell r="W23">
            <v>31</v>
          </cell>
          <cell r="X23">
            <v>1.0965688008489564E-2</v>
          </cell>
          <cell r="Y23">
            <v>1603</v>
          </cell>
          <cell r="Z23">
            <v>0.56703218960028301</v>
          </cell>
          <cell r="AA23">
            <v>1193</v>
          </cell>
          <cell r="AB23">
            <v>0.42200212239122747</v>
          </cell>
          <cell r="AC23">
            <v>2212</v>
          </cell>
        </row>
        <row r="25">
          <cell r="A25" t="str">
            <v>D</v>
          </cell>
          <cell r="B25" t="str">
            <v>07:00-08:00</v>
          </cell>
          <cell r="D25">
            <v>1</v>
          </cell>
          <cell r="E25">
            <v>72</v>
          </cell>
          <cell r="F25">
            <v>29</v>
          </cell>
          <cell r="G25">
            <v>125</v>
          </cell>
          <cell r="H25">
            <v>0.10032102728731943</v>
          </cell>
          <cell r="I25">
            <v>7</v>
          </cell>
          <cell r="K25">
            <v>9</v>
          </cell>
          <cell r="L25">
            <v>238</v>
          </cell>
          <cell r="M25">
            <v>359</v>
          </cell>
          <cell r="N25">
            <v>359</v>
          </cell>
          <cell r="O25">
            <v>0.2881219903691814</v>
          </cell>
          <cell r="Q25">
            <v>13</v>
          </cell>
          <cell r="R25">
            <v>448</v>
          </cell>
          <cell r="S25">
            <v>383</v>
          </cell>
          <cell r="T25">
            <v>762</v>
          </cell>
          <cell r="U25">
            <v>0.6115569823434992</v>
          </cell>
          <cell r="W25">
            <v>23</v>
          </cell>
          <cell r="X25">
            <v>1.4819587628865979E-2</v>
          </cell>
          <cell r="Y25">
            <v>758</v>
          </cell>
          <cell r="Z25">
            <v>0.48840206185567009</v>
          </cell>
          <cell r="AA25">
            <v>771</v>
          </cell>
          <cell r="AB25">
            <v>0.49677835051546393</v>
          </cell>
          <cell r="AC25">
            <v>1246</v>
          </cell>
        </row>
        <row r="26">
          <cell r="B26" t="str">
            <v>08:00-09:00</v>
          </cell>
          <cell r="D26">
            <v>0</v>
          </cell>
          <cell r="E26">
            <v>146</v>
          </cell>
          <cell r="F26">
            <v>34</v>
          </cell>
          <cell r="G26">
            <v>236</v>
          </cell>
          <cell r="H26">
            <v>0.16821097647897362</v>
          </cell>
          <cell r="I26">
            <v>9</v>
          </cell>
          <cell r="K26">
            <v>7</v>
          </cell>
          <cell r="L26">
            <v>245</v>
          </cell>
          <cell r="M26">
            <v>426</v>
          </cell>
          <cell r="N26">
            <v>383</v>
          </cell>
          <cell r="O26">
            <v>0.2729864575908767</v>
          </cell>
          <cell r="Q26">
            <v>5</v>
          </cell>
          <cell r="R26">
            <v>497</v>
          </cell>
          <cell r="S26">
            <v>320</v>
          </cell>
          <cell r="T26">
            <v>784</v>
          </cell>
          <cell r="U26">
            <v>0.55880256593014965</v>
          </cell>
          <cell r="W26">
            <v>12</v>
          </cell>
          <cell r="X26">
            <v>7.1428571428571426E-3</v>
          </cell>
          <cell r="Y26">
            <v>888</v>
          </cell>
          <cell r="Z26">
            <v>0.52857142857142858</v>
          </cell>
          <cell r="AA26">
            <v>780</v>
          </cell>
          <cell r="AB26">
            <v>0.4642857142857143</v>
          </cell>
          <cell r="AC26">
            <v>1403</v>
          </cell>
        </row>
        <row r="27">
          <cell r="B27" t="str">
            <v>17:00-18:00</v>
          </cell>
          <cell r="D27">
            <v>0</v>
          </cell>
          <cell r="E27">
            <v>199</v>
          </cell>
          <cell r="F27">
            <v>84</v>
          </cell>
          <cell r="G27">
            <v>341</v>
          </cell>
          <cell r="H27">
            <v>0.17380224260958205</v>
          </cell>
          <cell r="I27">
            <v>14</v>
          </cell>
          <cell r="K27">
            <v>10</v>
          </cell>
          <cell r="L27">
            <v>364</v>
          </cell>
          <cell r="M27">
            <v>691</v>
          </cell>
          <cell r="N27">
            <v>586</v>
          </cell>
          <cell r="O27">
            <v>0.29867482161060144</v>
          </cell>
          <cell r="Q27">
            <v>24</v>
          </cell>
          <cell r="R27">
            <v>605</v>
          </cell>
          <cell r="S27">
            <v>500</v>
          </cell>
          <cell r="T27">
            <v>1035</v>
          </cell>
          <cell r="U27">
            <v>0.52752293577981646</v>
          </cell>
          <cell r="W27">
            <v>34</v>
          </cell>
          <cell r="X27">
            <v>1.3726281792490917E-2</v>
          </cell>
          <cell r="Y27">
            <v>1168</v>
          </cell>
          <cell r="Z27">
            <v>0.47153815098909974</v>
          </cell>
          <cell r="AA27">
            <v>1275</v>
          </cell>
          <cell r="AB27">
            <v>0.51473556721840941</v>
          </cell>
          <cell r="AC27">
            <v>1962</v>
          </cell>
        </row>
        <row r="28">
          <cell r="B28" t="str">
            <v>18:00-19:00</v>
          </cell>
          <cell r="D28">
            <v>0</v>
          </cell>
          <cell r="E28">
            <v>188</v>
          </cell>
          <cell r="F28">
            <v>73</v>
          </cell>
          <cell r="G28">
            <v>319</v>
          </cell>
          <cell r="H28">
            <v>0.16258919469928645</v>
          </cell>
          <cell r="I28">
            <v>10</v>
          </cell>
          <cell r="K28">
            <v>12</v>
          </cell>
          <cell r="L28">
            <v>403</v>
          </cell>
          <cell r="M28">
            <v>670</v>
          </cell>
          <cell r="N28">
            <v>622</v>
          </cell>
          <cell r="O28">
            <v>0.31702344546381245</v>
          </cell>
          <cell r="Q28">
            <v>8</v>
          </cell>
          <cell r="R28">
            <v>679</v>
          </cell>
          <cell r="S28">
            <v>306</v>
          </cell>
          <cell r="T28">
            <v>1021</v>
          </cell>
          <cell r="U28">
            <v>0.5203873598369011</v>
          </cell>
          <cell r="W28">
            <v>20</v>
          </cell>
          <cell r="X28">
            <v>8.5506626763574185E-3</v>
          </cell>
          <cell r="Y28">
            <v>1270</v>
          </cell>
          <cell r="Z28">
            <v>0.54296707994869597</v>
          </cell>
          <cell r="AA28">
            <v>1049</v>
          </cell>
          <cell r="AB28">
            <v>0.44848225737494657</v>
          </cell>
          <cell r="AC28">
            <v>1962</v>
          </cell>
        </row>
        <row r="30">
          <cell r="A30" t="str">
            <v>合計</v>
          </cell>
          <cell r="B30" t="str">
            <v>07:00-08:00</v>
          </cell>
          <cell r="D30">
            <v>16</v>
          </cell>
          <cell r="E30">
            <v>609</v>
          </cell>
          <cell r="F30">
            <v>294</v>
          </cell>
          <cell r="G30">
            <v>1098</v>
          </cell>
          <cell r="H30">
            <v>0.18187841643200264</v>
          </cell>
          <cell r="I30">
            <v>582</v>
          </cell>
          <cell r="K30">
            <v>74</v>
          </cell>
          <cell r="L30">
            <v>2440</v>
          </cell>
          <cell r="M30">
            <v>3376</v>
          </cell>
          <cell r="N30">
            <v>3563</v>
          </cell>
          <cell r="O30">
            <v>0.59019380486996853</v>
          </cell>
          <cell r="Q30">
            <v>14</v>
          </cell>
          <cell r="R30">
            <v>858</v>
          </cell>
          <cell r="S30">
            <v>580</v>
          </cell>
          <cell r="T30">
            <v>1376</v>
          </cell>
          <cell r="U30">
            <v>0.22792777869802883</v>
          </cell>
          <cell r="W30">
            <v>104</v>
          </cell>
          <cell r="X30">
            <v>1.2589274906185692E-2</v>
          </cell>
          <cell r="Y30">
            <v>3907</v>
          </cell>
          <cell r="Z30">
            <v>0.47294516402372594</v>
          </cell>
          <cell r="AA30">
            <v>4250</v>
          </cell>
          <cell r="AB30">
            <v>0.51446556107008834</v>
          </cell>
          <cell r="AC30">
            <v>6037</v>
          </cell>
        </row>
        <row r="31">
          <cell r="B31" t="str">
            <v>08:00-09:00</v>
          </cell>
          <cell r="D31">
            <v>12</v>
          </cell>
          <cell r="E31">
            <v>752</v>
          </cell>
          <cell r="F31">
            <v>171</v>
          </cell>
          <cell r="G31">
            <v>1242</v>
          </cell>
          <cell r="H31">
            <v>0.23008521674694332</v>
          </cell>
          <cell r="I31">
            <v>196</v>
          </cell>
          <cell r="K31">
            <v>69</v>
          </cell>
          <cell r="L31">
            <v>2150</v>
          </cell>
          <cell r="M31">
            <v>2316</v>
          </cell>
          <cell r="N31">
            <v>2948</v>
          </cell>
          <cell r="O31">
            <v>0.5461281956280104</v>
          </cell>
          <cell r="Q31">
            <v>10</v>
          </cell>
          <cell r="R31">
            <v>769</v>
          </cell>
          <cell r="S31">
            <v>471</v>
          </cell>
          <cell r="T31">
            <v>1208</v>
          </cell>
          <cell r="U31">
            <v>0.2237865876250463</v>
          </cell>
          <cell r="W31">
            <v>91</v>
          </cell>
          <cell r="X31">
            <v>1.3541666666666667E-2</v>
          </cell>
          <cell r="Y31">
            <v>3671</v>
          </cell>
          <cell r="Z31">
            <v>0.54627976190476191</v>
          </cell>
          <cell r="AA31">
            <v>2958</v>
          </cell>
          <cell r="AB31">
            <v>0.44017857142857142</v>
          </cell>
          <cell r="AC31">
            <v>5398</v>
          </cell>
        </row>
        <row r="32">
          <cell r="B32" t="str">
            <v>17:00-18:00</v>
          </cell>
          <cell r="D32">
            <v>8</v>
          </cell>
          <cell r="E32">
            <v>618</v>
          </cell>
          <cell r="F32">
            <v>150</v>
          </cell>
          <cell r="G32">
            <v>1021</v>
          </cell>
          <cell r="H32">
            <v>0.17506858710562415</v>
          </cell>
          <cell r="I32">
            <v>211</v>
          </cell>
          <cell r="K32">
            <v>84</v>
          </cell>
          <cell r="L32">
            <v>2314</v>
          </cell>
          <cell r="M32">
            <v>2845</v>
          </cell>
          <cell r="N32">
            <v>3294</v>
          </cell>
          <cell r="O32">
            <v>0.56481481481481477</v>
          </cell>
          <cell r="Q32">
            <v>25</v>
          </cell>
          <cell r="R32">
            <v>921</v>
          </cell>
          <cell r="S32">
            <v>672</v>
          </cell>
          <cell r="T32">
            <v>1517</v>
          </cell>
          <cell r="U32">
            <v>0.26011659807956106</v>
          </cell>
          <cell r="W32">
            <v>117</v>
          </cell>
          <cell r="X32">
            <v>1.532015189210423E-2</v>
          </cell>
          <cell r="Y32">
            <v>3853</v>
          </cell>
          <cell r="Z32">
            <v>0.50451748068613333</v>
          </cell>
          <cell r="AA32">
            <v>3667</v>
          </cell>
          <cell r="AB32">
            <v>0.48016236742176249</v>
          </cell>
          <cell r="AC32">
            <v>5832</v>
          </cell>
        </row>
        <row r="33">
          <cell r="B33" t="str">
            <v>18:00-19:00</v>
          </cell>
          <cell r="D33">
            <v>18</v>
          </cell>
          <cell r="E33">
            <v>576</v>
          </cell>
          <cell r="F33">
            <v>151</v>
          </cell>
          <cell r="G33">
            <v>982</v>
          </cell>
          <cell r="H33">
            <v>0.15913142116350673</v>
          </cell>
          <cell r="I33">
            <v>255</v>
          </cell>
          <cell r="K33">
            <v>45</v>
          </cell>
          <cell r="L33">
            <v>2613</v>
          </cell>
          <cell r="M33">
            <v>3095</v>
          </cell>
          <cell r="N33">
            <v>3610</v>
          </cell>
          <cell r="O33">
            <v>0.58499432830983633</v>
          </cell>
          <cell r="Q33">
            <v>10</v>
          </cell>
          <cell r="R33">
            <v>1044</v>
          </cell>
          <cell r="S33">
            <v>507</v>
          </cell>
          <cell r="T33">
            <v>1579</v>
          </cell>
          <cell r="U33">
            <v>0.25587425052665697</v>
          </cell>
          <cell r="W33">
            <v>73</v>
          </cell>
          <cell r="X33">
            <v>9.0581958059312573E-3</v>
          </cell>
          <cell r="Y33">
            <v>4233</v>
          </cell>
          <cell r="Z33">
            <v>0.52525127186995901</v>
          </cell>
          <cell r="AA33">
            <v>3753</v>
          </cell>
          <cell r="AB33">
            <v>0.46569053232410967</v>
          </cell>
          <cell r="AC33">
            <v>6171</v>
          </cell>
        </row>
        <row r="35">
          <cell r="A35" t="str">
            <v>A</v>
          </cell>
          <cell r="B35" t="str">
            <v>07:00-08:00</v>
          </cell>
          <cell r="D35">
            <v>0</v>
          </cell>
          <cell r="E35">
            <v>8</v>
          </cell>
          <cell r="F35">
            <v>1</v>
          </cell>
          <cell r="G35">
            <v>13</v>
          </cell>
          <cell r="H35">
            <v>7.131102578167855E-3</v>
          </cell>
          <cell r="I35">
            <v>1</v>
          </cell>
          <cell r="K35">
            <v>25</v>
          </cell>
          <cell r="L35">
            <v>983</v>
          </cell>
          <cell r="M35">
            <v>863</v>
          </cell>
          <cell r="N35">
            <v>1279</v>
          </cell>
          <cell r="O35">
            <v>0.70159078442128364</v>
          </cell>
          <cell r="Q35">
            <v>1</v>
          </cell>
          <cell r="R35">
            <v>357</v>
          </cell>
          <cell r="S35">
            <v>161</v>
          </cell>
          <cell r="T35">
            <v>531</v>
          </cell>
          <cell r="U35">
            <v>0.29127811300054857</v>
          </cell>
          <cell r="W35">
            <v>26</v>
          </cell>
          <cell r="X35">
            <v>1.0837849103793247E-2</v>
          </cell>
          <cell r="Y35">
            <v>1348</v>
          </cell>
          <cell r="Z35">
            <v>0.56190079199666532</v>
          </cell>
          <cell r="AA35">
            <v>1025</v>
          </cell>
          <cell r="AB35">
            <v>0.42726135889954148</v>
          </cell>
          <cell r="AC35">
            <v>1823</v>
          </cell>
          <cell r="AD35">
            <v>0.94620976116303224</v>
          </cell>
        </row>
        <row r="36">
          <cell r="A36" t="str">
            <v>B</v>
          </cell>
          <cell r="D36">
            <v>2</v>
          </cell>
          <cell r="E36">
            <v>60</v>
          </cell>
          <cell r="F36">
            <v>12</v>
          </cell>
          <cell r="G36">
            <v>101</v>
          </cell>
          <cell r="H36">
            <v>0.13911845730027547</v>
          </cell>
          <cell r="I36">
            <v>4</v>
          </cell>
          <cell r="K36">
            <v>11</v>
          </cell>
          <cell r="L36">
            <v>358</v>
          </cell>
          <cell r="M36">
            <v>801</v>
          </cell>
          <cell r="N36">
            <v>615</v>
          </cell>
          <cell r="O36">
            <v>0.84710743801652888</v>
          </cell>
          <cell r="Q36">
            <v>0</v>
          </cell>
          <cell r="R36">
            <v>6</v>
          </cell>
          <cell r="S36">
            <v>6</v>
          </cell>
          <cell r="T36">
            <v>10</v>
          </cell>
          <cell r="U36">
            <v>1.3774104683195593E-2</v>
          </cell>
          <cell r="W36">
            <v>13</v>
          </cell>
          <cell r="X36">
            <v>1.0350318471337579E-2</v>
          </cell>
          <cell r="Y36">
            <v>424</v>
          </cell>
          <cell r="Z36">
            <v>0.33757961783439489</v>
          </cell>
          <cell r="AA36">
            <v>819</v>
          </cell>
          <cell r="AB36">
            <v>0.65207006369426757</v>
          </cell>
          <cell r="AC36">
            <v>726</v>
          </cell>
          <cell r="AD36">
            <v>0.84215413184772525</v>
          </cell>
        </row>
        <row r="37">
          <cell r="A37" t="str">
            <v>C</v>
          </cell>
          <cell r="D37">
            <v>13</v>
          </cell>
          <cell r="E37">
            <v>469</v>
          </cell>
          <cell r="F37">
            <v>252</v>
          </cell>
          <cell r="G37">
            <v>859</v>
          </cell>
          <cell r="H37">
            <v>0.38314005352363961</v>
          </cell>
          <cell r="I37">
            <v>570</v>
          </cell>
          <cell r="K37">
            <v>29</v>
          </cell>
          <cell r="L37">
            <v>861</v>
          </cell>
          <cell r="M37">
            <v>1353</v>
          </cell>
          <cell r="N37">
            <v>1310</v>
          </cell>
          <cell r="O37">
            <v>0.584299732381802</v>
          </cell>
          <cell r="Q37">
            <v>0</v>
          </cell>
          <cell r="R37">
            <v>47</v>
          </cell>
          <cell r="S37">
            <v>30</v>
          </cell>
          <cell r="T37">
            <v>73</v>
          </cell>
          <cell r="U37">
            <v>3.2560214094558428E-2</v>
          </cell>
          <cell r="W37">
            <v>42</v>
          </cell>
          <cell r="X37">
            <v>1.37524557956778E-2</v>
          </cell>
          <cell r="Y37">
            <v>1377</v>
          </cell>
          <cell r="Z37">
            <v>0.45088408644400785</v>
          </cell>
          <cell r="AA37">
            <v>1635</v>
          </cell>
          <cell r="AB37">
            <v>0.53536345776031435</v>
          </cell>
          <cell r="AC37">
            <v>2242</v>
          </cell>
          <cell r="AD37">
            <v>0.83790346682606087</v>
          </cell>
        </row>
        <row r="38">
          <cell r="A38" t="str">
            <v>D</v>
          </cell>
          <cell r="D38">
            <v>1</v>
          </cell>
          <cell r="E38">
            <v>72</v>
          </cell>
          <cell r="F38">
            <v>29</v>
          </cell>
          <cell r="G38">
            <v>125</v>
          </cell>
          <cell r="H38">
            <v>0.10032102728731943</v>
          </cell>
          <cell r="I38">
            <v>7</v>
          </cell>
          <cell r="K38">
            <v>9</v>
          </cell>
          <cell r="L38">
            <v>238</v>
          </cell>
          <cell r="M38">
            <v>359</v>
          </cell>
          <cell r="N38">
            <v>359</v>
          </cell>
          <cell r="O38">
            <v>0.2881219903691814</v>
          </cell>
          <cell r="Q38">
            <v>13</v>
          </cell>
          <cell r="R38">
            <v>448</v>
          </cell>
          <cell r="S38">
            <v>383</v>
          </cell>
          <cell r="T38">
            <v>762</v>
          </cell>
          <cell r="U38">
            <v>0.6115569823434992</v>
          </cell>
          <cell r="W38">
            <v>23</v>
          </cell>
          <cell r="X38">
            <v>1.4819587628865979E-2</v>
          </cell>
          <cell r="Y38">
            <v>758</v>
          </cell>
          <cell r="Z38">
            <v>0.48840206185567009</v>
          </cell>
          <cell r="AA38">
            <v>771</v>
          </cell>
          <cell r="AB38">
            <v>0.49677835051546393</v>
          </cell>
          <cell r="AC38">
            <v>1246</v>
          </cell>
          <cell r="AD38">
            <v>0.90575916230366493</v>
          </cell>
        </row>
        <row r="40">
          <cell r="A40" t="str">
            <v>A</v>
          </cell>
          <cell r="B40" t="str">
            <v>18:00-19:00</v>
          </cell>
          <cell r="D40">
            <v>1</v>
          </cell>
          <cell r="E40">
            <v>38</v>
          </cell>
          <cell r="F40">
            <v>6</v>
          </cell>
          <cell r="G40">
            <v>62</v>
          </cell>
          <cell r="H40">
            <v>4.7655649500384319E-2</v>
          </cell>
          <cell r="I40">
            <v>17</v>
          </cell>
          <cell r="K40">
            <v>13</v>
          </cell>
          <cell r="L40">
            <v>764</v>
          </cell>
          <cell r="M40">
            <v>547</v>
          </cell>
          <cell r="N40">
            <v>948</v>
          </cell>
          <cell r="O40">
            <v>0.72867025365103766</v>
          </cell>
          <cell r="Q40">
            <v>0</v>
          </cell>
          <cell r="R40">
            <v>179</v>
          </cell>
          <cell r="S40">
            <v>146</v>
          </cell>
          <cell r="T40">
            <v>291</v>
          </cell>
          <cell r="U40">
            <v>0.22367409684857803</v>
          </cell>
          <cell r="W40">
            <v>14</v>
          </cell>
          <cell r="X40">
            <v>8.2644628099173556E-3</v>
          </cell>
          <cell r="Y40">
            <v>981</v>
          </cell>
          <cell r="Z40">
            <v>0.57910271546635184</v>
          </cell>
          <cell r="AA40">
            <v>699</v>
          </cell>
          <cell r="AB40">
            <v>0.41263282172373084</v>
          </cell>
          <cell r="AC40">
            <v>1301</v>
          </cell>
          <cell r="AD40">
            <v>0.91568130630630629</v>
          </cell>
        </row>
        <row r="41">
          <cell r="A41" t="str">
            <v>B</v>
          </cell>
          <cell r="D41">
            <v>2</v>
          </cell>
          <cell r="E41">
            <v>82</v>
          </cell>
          <cell r="F41">
            <v>22</v>
          </cell>
          <cell r="G41">
            <v>139</v>
          </cell>
          <cell r="H41">
            <v>0.19971264367816091</v>
          </cell>
          <cell r="I41">
            <v>2</v>
          </cell>
          <cell r="K41">
            <v>6</v>
          </cell>
          <cell r="L41">
            <v>255</v>
          </cell>
          <cell r="M41">
            <v>773</v>
          </cell>
          <cell r="N41">
            <v>496</v>
          </cell>
          <cell r="O41">
            <v>0.71264367816091956</v>
          </cell>
          <cell r="Q41">
            <v>0</v>
          </cell>
          <cell r="R41">
            <v>42</v>
          </cell>
          <cell r="S41">
            <v>17</v>
          </cell>
          <cell r="T41">
            <v>61</v>
          </cell>
          <cell r="U41">
            <v>8.7643678160919544E-2</v>
          </cell>
          <cell r="W41">
            <v>8</v>
          </cell>
          <cell r="X41">
            <v>6.672226855713094E-3</v>
          </cell>
          <cell r="Y41">
            <v>379</v>
          </cell>
          <cell r="Z41">
            <v>0.31609674728940784</v>
          </cell>
          <cell r="AA41">
            <v>812</v>
          </cell>
          <cell r="AB41">
            <v>0.67723102585487904</v>
          </cell>
          <cell r="AC41">
            <v>696</v>
          </cell>
          <cell r="AD41">
            <v>0.9047061882475298</v>
          </cell>
        </row>
        <row r="42">
          <cell r="A42" t="str">
            <v>C</v>
          </cell>
          <cell r="D42">
            <v>15</v>
          </cell>
          <cell r="E42">
            <v>268</v>
          </cell>
          <cell r="F42">
            <v>50</v>
          </cell>
          <cell r="G42">
            <v>462</v>
          </cell>
          <cell r="H42">
            <v>0.20886075949367089</v>
          </cell>
          <cell r="I42">
            <v>226</v>
          </cell>
          <cell r="K42">
            <v>14</v>
          </cell>
          <cell r="L42">
            <v>1191</v>
          </cell>
          <cell r="M42">
            <v>1105</v>
          </cell>
          <cell r="N42">
            <v>1544</v>
          </cell>
          <cell r="O42">
            <v>0.69801084990958406</v>
          </cell>
          <cell r="Q42">
            <v>2</v>
          </cell>
          <cell r="R42">
            <v>144</v>
          </cell>
          <cell r="S42">
            <v>38</v>
          </cell>
          <cell r="T42">
            <v>206</v>
          </cell>
          <cell r="U42">
            <v>9.3128390596745034E-2</v>
          </cell>
          <cell r="W42">
            <v>31</v>
          </cell>
          <cell r="X42">
            <v>1.0965688008489564E-2</v>
          </cell>
          <cell r="Y42">
            <v>1603</v>
          </cell>
          <cell r="Z42">
            <v>0.56703218960028301</v>
          </cell>
          <cell r="AA42">
            <v>1193</v>
          </cell>
          <cell r="AB42">
            <v>0.42200212239122747</v>
          </cell>
          <cell r="AC42">
            <v>2212</v>
          </cell>
          <cell r="AD42">
            <v>0.89559371456342129</v>
          </cell>
        </row>
        <row r="43">
          <cell r="A43" t="str">
            <v>D</v>
          </cell>
          <cell r="D43">
            <v>0</v>
          </cell>
          <cell r="E43">
            <v>188</v>
          </cell>
          <cell r="F43">
            <v>73</v>
          </cell>
          <cell r="G43">
            <v>319</v>
          </cell>
          <cell r="H43">
            <v>0.16258919469928645</v>
          </cell>
          <cell r="I43">
            <v>10</v>
          </cell>
          <cell r="K43">
            <v>12</v>
          </cell>
          <cell r="L43">
            <v>403</v>
          </cell>
          <cell r="M43">
            <v>670</v>
          </cell>
          <cell r="N43">
            <v>622</v>
          </cell>
          <cell r="O43">
            <v>0.31702344546381245</v>
          </cell>
          <cell r="Q43">
            <v>8</v>
          </cell>
          <cell r="R43">
            <v>679</v>
          </cell>
          <cell r="S43">
            <v>306</v>
          </cell>
          <cell r="T43">
            <v>1021</v>
          </cell>
          <cell r="U43">
            <v>0.5203873598369011</v>
          </cell>
          <cell r="W43">
            <v>20</v>
          </cell>
          <cell r="X43">
            <v>8.5506626763574185E-3</v>
          </cell>
          <cell r="Y43">
            <v>1270</v>
          </cell>
          <cell r="Z43">
            <v>0.54296707994869597</v>
          </cell>
          <cell r="AA43">
            <v>1049</v>
          </cell>
          <cell r="AB43">
            <v>0.44848225737494657</v>
          </cell>
          <cell r="AC43">
            <v>1962</v>
          </cell>
          <cell r="AD43">
            <v>0.93498570066730213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圖"/>
      <sheetName val="集賢"/>
      <sheetName val="基本"/>
      <sheetName val="累計"/>
      <sheetName val="平日"/>
      <sheetName val="基本時制"/>
      <sheetName val="世曦"/>
      <sheetName val="亂數"/>
      <sheetName val="計算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  <cell r="E34">
            <v>0</v>
          </cell>
          <cell r="F34">
            <v>0</v>
          </cell>
          <cell r="I34">
            <v>0</v>
          </cell>
          <cell r="J34">
            <v>0</v>
          </cell>
        </row>
        <row r="43">
          <cell r="A43">
            <v>0</v>
          </cell>
          <cell r="B43">
            <v>0</v>
          </cell>
          <cell r="E43">
            <v>0</v>
          </cell>
          <cell r="F43">
            <v>0</v>
          </cell>
        </row>
      </sheetData>
      <sheetData sheetId="3"/>
      <sheetData sheetId="4"/>
      <sheetData sheetId="5">
        <row r="7">
          <cell r="G7">
            <v>-5</v>
          </cell>
          <cell r="H7">
            <v>3</v>
          </cell>
          <cell r="I7">
            <v>2</v>
          </cell>
          <cell r="K7">
            <v>-5</v>
          </cell>
          <cell r="L7">
            <v>3</v>
          </cell>
          <cell r="M7">
            <v>2</v>
          </cell>
        </row>
        <row r="9">
          <cell r="G9">
            <v>-5</v>
          </cell>
          <cell r="H9">
            <v>3</v>
          </cell>
          <cell r="I9">
            <v>2</v>
          </cell>
          <cell r="K9">
            <v>-5</v>
          </cell>
          <cell r="L9">
            <v>3</v>
          </cell>
          <cell r="M9">
            <v>2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C0ECF-003C-4E8A-839C-D53770487F9D}">
  <sheetPr codeName="工作表2"/>
  <dimension ref="A2:BL248"/>
  <sheetViews>
    <sheetView topLeftCell="A220" zoomScale="40" zoomScaleNormal="40" workbookViewId="0">
      <selection activeCell="AH252" sqref="AH252"/>
    </sheetView>
  </sheetViews>
  <sheetFormatPr defaultRowHeight="16.5"/>
  <cols>
    <col min="4" max="4" width="17.625" style="17" customWidth="1"/>
  </cols>
  <sheetData>
    <row r="2" spans="1:64" ht="16.5" customHeight="1">
      <c r="E2" t="s">
        <v>44</v>
      </c>
      <c r="M2" t="s">
        <v>45</v>
      </c>
      <c r="V2" t="s">
        <v>51</v>
      </c>
      <c r="AI2" s="183" t="s">
        <v>176</v>
      </c>
      <c r="AJ2" s="183"/>
      <c r="AK2" s="183"/>
      <c r="AL2" s="183"/>
      <c r="AM2" s="183"/>
      <c r="AN2" s="183"/>
      <c r="AO2" s="183"/>
      <c r="AP2" s="183"/>
    </row>
    <row r="3" spans="1:64">
      <c r="A3" s="24" t="s">
        <v>46</v>
      </c>
      <c r="B3" s="25">
        <v>113</v>
      </c>
      <c r="C3" s="26" t="s">
        <v>47</v>
      </c>
      <c r="E3" s="184" t="s">
        <v>50</v>
      </c>
      <c r="F3" s="185"/>
      <c r="G3" s="185"/>
      <c r="H3" s="185"/>
      <c r="I3" s="185"/>
      <c r="J3" s="185"/>
      <c r="K3" s="185"/>
      <c r="M3" s="182" t="str">
        <f>E3</f>
        <v>台61/許厝港路</v>
      </c>
      <c r="N3" s="183"/>
      <c r="O3" s="183"/>
      <c r="P3" s="183"/>
      <c r="Q3" s="183"/>
      <c r="R3" s="183"/>
      <c r="S3" s="183"/>
      <c r="T3" s="183"/>
      <c r="U3" s="68"/>
      <c r="V3" s="182" t="str">
        <f>M3</f>
        <v>台61/許厝港路</v>
      </c>
      <c r="W3" s="183"/>
      <c r="X3" s="183"/>
      <c r="Z3" s="17"/>
      <c r="AA3" s="182" t="str">
        <f>V3</f>
        <v>台61/許厝港路</v>
      </c>
      <c r="AB3" s="183"/>
      <c r="AC3" s="183"/>
      <c r="AD3" s="183"/>
      <c r="AE3" s="183"/>
      <c r="AJ3" s="33">
        <f>AB12</f>
        <v>53.070369912410349</v>
      </c>
      <c r="AK3" s="33">
        <f>AC12</f>
        <v>219.30064164531808</v>
      </c>
      <c r="BB3" s="41"/>
      <c r="BC3" s="7" t="str">
        <f>"↙"</f>
        <v>↙</v>
      </c>
      <c r="BD3" s="7" t="str">
        <f>"↓"</f>
        <v>↓</v>
      </c>
      <c r="BE3" s="6" t="str">
        <f>"↘"</f>
        <v>↘</v>
      </c>
      <c r="BF3" s="6" t="str">
        <f>"↘"</f>
        <v>↘</v>
      </c>
      <c r="BG3" s="44"/>
      <c r="BH3" s="7"/>
      <c r="BI3" s="7"/>
      <c r="BJ3" s="7"/>
      <c r="BK3" s="6"/>
      <c r="BL3" s="44"/>
    </row>
    <row r="4" spans="1:64">
      <c r="A4" s="24" t="s">
        <v>48</v>
      </c>
      <c r="B4" s="28">
        <v>140</v>
      </c>
      <c r="C4" s="26" t="s">
        <v>47</v>
      </c>
      <c r="D4" s="36" t="s">
        <v>74</v>
      </c>
      <c r="E4" s="37">
        <v>170.38</v>
      </c>
      <c r="F4" s="37">
        <v>203.2</v>
      </c>
      <c r="G4" s="37">
        <v>0</v>
      </c>
      <c r="H4" s="37"/>
      <c r="I4" s="37">
        <v>189.46</v>
      </c>
      <c r="J4" s="37">
        <v>115.5</v>
      </c>
      <c r="K4" s="37">
        <v>0</v>
      </c>
      <c r="M4" s="27">
        <f t="shared" ref="M4:O7" si="0">E4*(1+$B$5)^($B$4-$B$3)</f>
        <v>234.49506290654759</v>
      </c>
      <c r="N4" s="27">
        <f t="shared" si="0"/>
        <v>279.66543480813749</v>
      </c>
      <c r="O4" s="27">
        <f t="shared" si="0"/>
        <v>0</v>
      </c>
      <c r="P4" s="29">
        <f>M4+N4+O4</f>
        <v>514.16049771468511</v>
      </c>
      <c r="Q4" s="27">
        <f t="shared" ref="Q4:S7" si="1">I4*(1+$B$5)^($B$4-$B$3)</f>
        <v>260.75498660802037</v>
      </c>
      <c r="R4" s="27">
        <f t="shared" si="1"/>
        <v>158.96337460797187</v>
      </c>
      <c r="S4" s="27">
        <f t="shared" si="1"/>
        <v>0</v>
      </c>
      <c r="T4" s="29">
        <f>Q4+R4+S4</f>
        <v>419.71836121599222</v>
      </c>
      <c r="U4" s="68" t="str">
        <f>D4</f>
        <v>(台61)西濱路三段</v>
      </c>
      <c r="V4" s="27">
        <f>IF($P4&gt;$T4,M4,Q4)</f>
        <v>234.49506290654759</v>
      </c>
      <c r="W4" s="27">
        <f t="shared" ref="W4:X7" si="2">IF($P4&gt;$T4,N4,R4)</f>
        <v>279.66543480813749</v>
      </c>
      <c r="X4" s="27">
        <f t="shared" si="2"/>
        <v>0</v>
      </c>
      <c r="AB4" s="33">
        <f>X7</f>
        <v>0</v>
      </c>
      <c r="AC4" s="33">
        <f>W7</f>
        <v>0</v>
      </c>
      <c r="AD4" s="33">
        <f>V7</f>
        <v>0</v>
      </c>
      <c r="AJ4" s="83" t="str">
        <f>AB13</f>
        <v>↙台61西</v>
      </c>
      <c r="AK4" s="83" t="str">
        <f>AC13</f>
        <v>↓台66南</v>
      </c>
      <c r="AO4" s="84" t="str">
        <f t="shared" ref="AO4:AP6" si="3">AE14</f>
        <v>↖台66北</v>
      </c>
      <c r="AP4" s="33">
        <f t="shared" si="3"/>
        <v>158.88079623155215</v>
      </c>
      <c r="BB4" s="34" t="str">
        <f>"↗"</f>
        <v>↗</v>
      </c>
      <c r="BC4" s="42"/>
      <c r="BD4" s="43"/>
      <c r="BE4" s="45"/>
      <c r="BF4" s="44"/>
      <c r="BG4" s="44"/>
      <c r="BH4" s="44"/>
      <c r="BI4" s="50"/>
      <c r="BJ4" s="44"/>
      <c r="BK4" s="44"/>
      <c r="BL4" s="22" t="str">
        <f>"↖"</f>
        <v>↖</v>
      </c>
    </row>
    <row r="5" spans="1:64">
      <c r="A5" s="30" t="s">
        <v>49</v>
      </c>
      <c r="B5" s="31">
        <v>1.1900000000000001E-2</v>
      </c>
      <c r="C5" s="32"/>
      <c r="D5" s="36" t="s">
        <v>75</v>
      </c>
      <c r="E5" s="37">
        <v>231.28</v>
      </c>
      <c r="F5" s="37">
        <v>0</v>
      </c>
      <c r="G5" s="37">
        <v>280.54000000000002</v>
      </c>
      <c r="H5" s="37"/>
      <c r="I5" s="37">
        <v>268.92</v>
      </c>
      <c r="J5" s="37">
        <v>0</v>
      </c>
      <c r="K5" s="37">
        <v>0</v>
      </c>
      <c r="M5" s="27">
        <f t="shared" si="0"/>
        <v>318.31211497256913</v>
      </c>
      <c r="N5" s="27">
        <f t="shared" si="0"/>
        <v>0</v>
      </c>
      <c r="O5" s="27">
        <f t="shared" si="0"/>
        <v>386.10896201316393</v>
      </c>
      <c r="P5" s="29">
        <f>M5+N5+O5</f>
        <v>704.42107698573307</v>
      </c>
      <c r="Q5" s="27">
        <f t="shared" si="1"/>
        <v>370.11628311321039</v>
      </c>
      <c r="R5" s="27">
        <f t="shared" si="1"/>
        <v>0</v>
      </c>
      <c r="S5" s="27">
        <f t="shared" si="1"/>
        <v>0</v>
      </c>
      <c r="T5" s="29">
        <f>Q5+R5+S5</f>
        <v>370.11628311321039</v>
      </c>
      <c r="U5" s="68" t="str">
        <f>D5</f>
        <v>許厝港路</v>
      </c>
      <c r="V5" s="27">
        <f>IF($P5&gt;$T5,M5,Q5)</f>
        <v>318.31211497256913</v>
      </c>
      <c r="W5" s="27">
        <f t="shared" si="2"/>
        <v>0</v>
      </c>
      <c r="X5" s="27">
        <f t="shared" si="2"/>
        <v>386.10896201316393</v>
      </c>
      <c r="AA5" s="34"/>
      <c r="AB5" s="7" t="s">
        <v>16</v>
      </c>
      <c r="AC5" s="7" t="s">
        <v>38</v>
      </c>
      <c r="AD5" s="6" t="s">
        <v>15</v>
      </c>
      <c r="AE5" s="21"/>
      <c r="AO5" s="84" t="str">
        <f t="shared" si="3"/>
        <v>←台61西</v>
      </c>
      <c r="AP5" s="33">
        <f t="shared" si="3"/>
        <v>326.07448235602334</v>
      </c>
      <c r="BB5" s="34" t="str">
        <f>"→"</f>
        <v>→</v>
      </c>
      <c r="BC5" s="47"/>
      <c r="BD5" s="47"/>
      <c r="BE5" s="45"/>
      <c r="BF5" s="44"/>
      <c r="BG5" s="44"/>
      <c r="BH5" s="44"/>
      <c r="BI5" s="44"/>
      <c r="BJ5" s="44"/>
      <c r="BK5" s="50"/>
      <c r="BL5" s="22" t="str">
        <f>"←"</f>
        <v>←</v>
      </c>
    </row>
    <row r="6" spans="1:64">
      <c r="D6" s="36" t="s">
        <v>76</v>
      </c>
      <c r="E6" s="37">
        <v>0</v>
      </c>
      <c r="F6" s="37">
        <v>155</v>
      </c>
      <c r="G6" s="37">
        <v>158.82</v>
      </c>
      <c r="H6" s="37"/>
      <c r="I6" s="37">
        <v>0</v>
      </c>
      <c r="J6" s="37">
        <v>1.8</v>
      </c>
      <c r="K6" s="37">
        <v>606.86</v>
      </c>
      <c r="M6" s="27">
        <f t="shared" si="0"/>
        <v>0</v>
      </c>
      <c r="N6" s="27">
        <f t="shared" si="0"/>
        <v>213.32747241762459</v>
      </c>
      <c r="O6" s="27">
        <f t="shared" si="0"/>
        <v>218.58496238301379</v>
      </c>
      <c r="P6" s="29">
        <f>M6+N6+O6</f>
        <v>431.91243480063838</v>
      </c>
      <c r="Q6" s="27">
        <f t="shared" si="1"/>
        <v>0</v>
      </c>
      <c r="R6" s="27">
        <f t="shared" si="1"/>
        <v>2.4773512925917696</v>
      </c>
      <c r="S6" s="27">
        <f t="shared" si="1"/>
        <v>835.22522523457849</v>
      </c>
      <c r="T6" s="29">
        <f>Q6+R6+S6</f>
        <v>837.70257652717021</v>
      </c>
      <c r="U6" s="68" t="str">
        <f>D6</f>
        <v>西濱路三段</v>
      </c>
      <c r="V6" s="27">
        <f>IF($P6&gt;$T6,M6,Q6)</f>
        <v>0</v>
      </c>
      <c r="W6" s="27">
        <f t="shared" si="2"/>
        <v>2.4773512925917696</v>
      </c>
      <c r="X6" s="27">
        <f t="shared" si="2"/>
        <v>835.22522523457849</v>
      </c>
      <c r="Z6" s="33">
        <f>V6</f>
        <v>0</v>
      </c>
      <c r="AA6" s="34" t="s">
        <v>14</v>
      </c>
      <c r="AB6" s="71"/>
      <c r="AC6" s="72" t="str">
        <f>U7</f>
        <v>無</v>
      </c>
      <c r="AD6" s="73"/>
      <c r="AE6" s="22" t="s">
        <v>17</v>
      </c>
      <c r="AF6" s="33">
        <f>X4</f>
        <v>0</v>
      </c>
      <c r="AK6" s="33">
        <f>AC20</f>
        <v>653.0022746017172</v>
      </c>
      <c r="AL6" s="33">
        <f>AD20</f>
        <v>180.84664435919919</v>
      </c>
      <c r="AO6" s="84" t="str">
        <f t="shared" si="3"/>
        <v>↙台66南</v>
      </c>
      <c r="AP6" s="33">
        <f t="shared" si="3"/>
        <v>606.62075317930464</v>
      </c>
      <c r="BB6" s="34" t="str">
        <f>"↘"</f>
        <v>↘</v>
      </c>
      <c r="BC6" s="44"/>
      <c r="BD6" s="44"/>
      <c r="BE6" s="44"/>
      <c r="BF6" s="44"/>
      <c r="BG6" s="44"/>
      <c r="BH6" s="44"/>
      <c r="BI6" s="44"/>
      <c r="BJ6" s="44"/>
      <c r="BK6" s="44"/>
      <c r="BL6" s="22" t="str">
        <f>"↙"</f>
        <v>↙</v>
      </c>
    </row>
    <row r="7" spans="1:64">
      <c r="D7" s="36" t="s">
        <v>77</v>
      </c>
      <c r="E7" s="37">
        <v>0</v>
      </c>
      <c r="F7" s="37">
        <v>0</v>
      </c>
      <c r="G7" s="37">
        <v>0</v>
      </c>
      <c r="H7" s="37"/>
      <c r="I7" s="37">
        <v>0</v>
      </c>
      <c r="J7" s="37">
        <v>0</v>
      </c>
      <c r="K7" s="37">
        <v>0</v>
      </c>
      <c r="M7" s="27">
        <f t="shared" si="0"/>
        <v>0</v>
      </c>
      <c r="N7" s="27">
        <f t="shared" si="0"/>
        <v>0</v>
      </c>
      <c r="O7" s="27">
        <f t="shared" si="0"/>
        <v>0</v>
      </c>
      <c r="P7" s="29">
        <f>M7+N7+O7</f>
        <v>0</v>
      </c>
      <c r="Q7" s="27">
        <f t="shared" si="1"/>
        <v>0</v>
      </c>
      <c r="R7" s="27">
        <f t="shared" si="1"/>
        <v>0</v>
      </c>
      <c r="S7" s="27">
        <f t="shared" si="1"/>
        <v>0</v>
      </c>
      <c r="T7" s="29">
        <f>Q7+R7+S7</f>
        <v>0</v>
      </c>
      <c r="U7" s="68" t="str">
        <f>D7</f>
        <v>無</v>
      </c>
      <c r="V7" s="27">
        <f>IF($P7&gt;$T7,M7,Q7)</f>
        <v>0</v>
      </c>
      <c r="W7" s="27">
        <f t="shared" si="2"/>
        <v>0</v>
      </c>
      <c r="X7" s="27">
        <f t="shared" si="2"/>
        <v>0</v>
      </c>
      <c r="Z7" s="33">
        <f>W6</f>
        <v>2.4773512925917696</v>
      </c>
      <c r="AA7" s="34" t="s">
        <v>52</v>
      </c>
      <c r="AB7" s="74" t="str">
        <f>U6</f>
        <v>西濱路三段</v>
      </c>
      <c r="AC7" s="74"/>
      <c r="AD7" s="73" t="str">
        <f>U4</f>
        <v>(台61)西濱路三段</v>
      </c>
      <c r="AE7" s="22" t="s">
        <v>53</v>
      </c>
      <c r="AF7" s="33">
        <f>W4</f>
        <v>279.66543480813749</v>
      </c>
      <c r="AK7" s="42" t="str">
        <f>AC21</f>
        <v>↓台66南</v>
      </c>
      <c r="AL7" s="42" t="str">
        <f>AD21</f>
        <v>↘台61東</v>
      </c>
      <c r="AM7" s="83" t="str">
        <f>AB17</f>
        <v>↖台61西</v>
      </c>
      <c r="AN7" s="83" t="str">
        <f>AC17</f>
        <v>↑台66北</v>
      </c>
      <c r="BB7" s="34" t="str">
        <f>"↘"</f>
        <v>↘</v>
      </c>
      <c r="BC7" s="47"/>
      <c r="BD7" s="47"/>
      <c r="BE7" s="45"/>
      <c r="BF7" s="44"/>
      <c r="BG7" s="44"/>
      <c r="BH7" s="44"/>
      <c r="BI7" s="44"/>
      <c r="BJ7" s="44"/>
      <c r="BK7" s="44"/>
      <c r="BL7" s="22" t="str">
        <f>"↙"</f>
        <v>↙</v>
      </c>
    </row>
    <row r="8" spans="1:64">
      <c r="U8" s="68"/>
      <c r="Z8" s="33">
        <f>X6</f>
        <v>835.22522523457849</v>
      </c>
      <c r="AA8" s="34" t="s">
        <v>15</v>
      </c>
      <c r="AB8" s="74"/>
      <c r="AC8" s="74" t="str">
        <f>U5</f>
        <v>許厝港路</v>
      </c>
      <c r="AD8" s="73"/>
      <c r="AE8" s="22" t="s">
        <v>16</v>
      </c>
      <c r="AF8" s="33">
        <f>V4</f>
        <v>234.49506290654759</v>
      </c>
      <c r="AI8" s="33">
        <f t="shared" ref="AI8:AJ10" si="4">Z22</f>
        <v>86.514612362399234</v>
      </c>
      <c r="AJ8" s="42" t="str">
        <f t="shared" si="4"/>
        <v>↗台66北</v>
      </c>
      <c r="AM8" s="33">
        <f>AB18</f>
        <v>379.3375351467464</v>
      </c>
      <c r="AN8" s="33">
        <f>AC18</f>
        <v>441.54657871627302</v>
      </c>
      <c r="BB8" s="41"/>
      <c r="BC8" s="8" t="str">
        <f>"↖"</f>
        <v>↖</v>
      </c>
      <c r="BD8" s="8" t="str">
        <f>"↑"</f>
        <v>↑</v>
      </c>
      <c r="BE8" s="6" t="str">
        <f>"↗"</f>
        <v>↗</v>
      </c>
      <c r="BF8" s="43" t="str">
        <f>"⬎"</f>
        <v>⬎</v>
      </c>
      <c r="BG8" s="67"/>
      <c r="BH8" s="47" t="str">
        <f>"⬐"</f>
        <v>⬐</v>
      </c>
      <c r="BI8" s="8" t="str">
        <f>"↖"</f>
        <v>↖</v>
      </c>
      <c r="BJ8" s="8" t="str">
        <f>"↑"</f>
        <v>↑</v>
      </c>
      <c r="BK8" s="6" t="str">
        <f>"↗"</f>
        <v>↗</v>
      </c>
      <c r="BL8" s="44"/>
    </row>
    <row r="9" spans="1:64">
      <c r="U9" s="68"/>
      <c r="AA9" s="34"/>
      <c r="AB9" s="8" t="s">
        <v>17</v>
      </c>
      <c r="AC9" s="8" t="s">
        <v>39</v>
      </c>
      <c r="AD9" s="6" t="s">
        <v>14</v>
      </c>
      <c r="AE9" s="21"/>
      <c r="AI9" s="33">
        <f t="shared" si="4"/>
        <v>436.37166712730357</v>
      </c>
      <c r="AJ9" s="42" t="str">
        <f t="shared" si="4"/>
        <v>→台61東</v>
      </c>
    </row>
    <row r="10" spans="1:64">
      <c r="U10" s="68"/>
      <c r="AB10" s="33">
        <f>V5</f>
        <v>318.31211497256913</v>
      </c>
      <c r="AC10" s="33">
        <f>W5</f>
        <v>0</v>
      </c>
      <c r="AD10" s="33">
        <f>X5</f>
        <v>386.10896201316393</v>
      </c>
      <c r="AI10" s="33">
        <f t="shared" si="4"/>
        <v>193.26092694763125</v>
      </c>
      <c r="AJ10" s="42" t="str">
        <f t="shared" si="4"/>
        <v>↘台66南</v>
      </c>
      <c r="AN10" s="42" t="str">
        <f>AC25</f>
        <v>↑台66北</v>
      </c>
      <c r="AO10" s="42" t="str">
        <f>AD25</f>
        <v>↗台61東</v>
      </c>
    </row>
    <row r="11" spans="1:64">
      <c r="E11" s="184" t="s">
        <v>54</v>
      </c>
      <c r="F11" s="185"/>
      <c r="G11" s="185"/>
      <c r="H11" s="185"/>
      <c r="I11" s="185"/>
      <c r="J11" s="185"/>
      <c r="K11" s="185"/>
      <c r="M11" s="182" t="str">
        <f>E11</f>
        <v>台61/台66(北側)</v>
      </c>
      <c r="N11" s="183"/>
      <c r="O11" s="183"/>
      <c r="P11" s="183"/>
      <c r="Q11" s="183"/>
      <c r="R11" s="183"/>
      <c r="S11" s="183"/>
      <c r="T11" s="183"/>
      <c r="U11" s="68"/>
      <c r="V11" s="182" t="str">
        <f>M11</f>
        <v>台61/台66(北側)</v>
      </c>
      <c r="W11" s="183"/>
      <c r="X11" s="183"/>
      <c r="Z11" s="17"/>
      <c r="AA11" s="182" t="str">
        <f>V11</f>
        <v>台61/台66(北側)</v>
      </c>
      <c r="AB11" s="183"/>
      <c r="AC11" s="183"/>
      <c r="AD11" s="183"/>
      <c r="AE11" s="183"/>
      <c r="AN11" s="33">
        <f>AC26</f>
        <v>732.13988533728764</v>
      </c>
      <c r="AO11" s="33">
        <f>AD26</f>
        <v>823.25136065371817</v>
      </c>
      <c r="BB11" s="41"/>
      <c r="BC11" s="7" t="str">
        <f>"↙"</f>
        <v>↙</v>
      </c>
      <c r="BD11" s="7" t="str">
        <f>"↓"</f>
        <v>↓</v>
      </c>
      <c r="BE11" s="6" t="str">
        <f>"↘"</f>
        <v>↘</v>
      </c>
      <c r="BF11" s="43" t="str">
        <f>"⬏"</f>
        <v>⬏</v>
      </c>
      <c r="BG11" s="67"/>
      <c r="BH11" s="42" t="str">
        <f>"⬑"</f>
        <v>⬑</v>
      </c>
      <c r="BI11" s="7" t="str">
        <f>"↙"</f>
        <v>↙</v>
      </c>
      <c r="BJ11" s="7" t="str">
        <f>"↓"</f>
        <v>↓</v>
      </c>
      <c r="BK11" s="6" t="str">
        <f>"↘"</f>
        <v>↘</v>
      </c>
      <c r="BL11" s="44"/>
    </row>
    <row r="12" spans="1:64">
      <c r="D12" s="36" t="s">
        <v>78</v>
      </c>
      <c r="E12" s="35">
        <v>301.23999999999995</v>
      </c>
      <c r="F12" s="35">
        <v>271.32</v>
      </c>
      <c r="G12" s="35">
        <v>194.06</v>
      </c>
      <c r="H12" s="35"/>
      <c r="I12" s="35">
        <v>440.76000000000005</v>
      </c>
      <c r="J12" s="35">
        <v>236.92</v>
      </c>
      <c r="K12" s="35">
        <v>115.44</v>
      </c>
      <c r="M12" s="27">
        <f t="shared" ref="M12:O15" si="5">E12*(1+$B$5)^($B$4-$B$3)</f>
        <v>414.59850187796917</v>
      </c>
      <c r="N12" s="27">
        <f t="shared" si="5"/>
        <v>373.41941816999935</v>
      </c>
      <c r="O12" s="27">
        <f t="shared" si="5"/>
        <v>267.085995466866</v>
      </c>
      <c r="P12" s="29">
        <f>M12+N12+O12</f>
        <v>1055.1039155148346</v>
      </c>
      <c r="Q12" s="27">
        <f t="shared" ref="Q12:S15" si="6">I12*(1+$B$5)^($B$4-$B$3)</f>
        <v>606.62075317930464</v>
      </c>
      <c r="R12" s="27">
        <f t="shared" si="6"/>
        <v>326.07448235602334</v>
      </c>
      <c r="S12" s="27">
        <f t="shared" si="6"/>
        <v>158.88079623155215</v>
      </c>
      <c r="T12" s="29">
        <f>Q12+R12+S12</f>
        <v>1091.5760317668801</v>
      </c>
      <c r="U12" s="68" t="s">
        <v>182</v>
      </c>
      <c r="V12" s="27">
        <f>IF($P12&gt;$T12,M12,Q12)</f>
        <v>606.62075317930464</v>
      </c>
      <c r="W12" s="27">
        <f t="shared" ref="W12:X15" si="7">IF($P12&gt;$T12,N12,R12)</f>
        <v>326.07448235602334</v>
      </c>
      <c r="X12" s="27">
        <f t="shared" si="7"/>
        <v>158.88079623155215</v>
      </c>
      <c r="AB12" s="33">
        <f>X15</f>
        <v>53.070369912410349</v>
      </c>
      <c r="AC12" s="33">
        <f>W15</f>
        <v>219.30064164531808</v>
      </c>
      <c r="AD12" s="33">
        <f>V15</f>
        <v>0</v>
      </c>
      <c r="BB12" s="34" t="str">
        <f>"↗"</f>
        <v>↗</v>
      </c>
      <c r="BC12" s="42"/>
      <c r="BD12" s="43"/>
      <c r="BE12" s="45"/>
      <c r="BF12" s="44"/>
      <c r="BG12" s="44"/>
      <c r="BH12" s="44"/>
      <c r="BI12" s="50"/>
      <c r="BJ12" s="44"/>
      <c r="BK12" s="44"/>
      <c r="BL12" s="22" t="str">
        <f>"↖"</f>
        <v>↖</v>
      </c>
    </row>
    <row r="13" spans="1:64" ht="16.5" customHeight="1">
      <c r="D13" s="36" t="s">
        <v>79</v>
      </c>
      <c r="E13" s="35">
        <v>275.62</v>
      </c>
      <c r="F13" s="35">
        <v>320.82</v>
      </c>
      <c r="G13" s="35">
        <v>0</v>
      </c>
      <c r="H13" s="35"/>
      <c r="I13" s="35">
        <v>176.48000000000002</v>
      </c>
      <c r="J13" s="35">
        <v>45.06</v>
      </c>
      <c r="K13" s="35">
        <v>0</v>
      </c>
      <c r="M13" s="27">
        <f t="shared" si="5"/>
        <v>379.3375351467464</v>
      </c>
      <c r="N13" s="27">
        <f t="shared" si="5"/>
        <v>441.54657871627302</v>
      </c>
      <c r="O13" s="27">
        <f t="shared" si="5"/>
        <v>0</v>
      </c>
      <c r="P13" s="29">
        <f>M13+N13+O13</f>
        <v>820.88411386301937</v>
      </c>
      <c r="Q13" s="27">
        <f t="shared" si="6"/>
        <v>242.89053117588639</v>
      </c>
      <c r="R13" s="27">
        <f t="shared" si="6"/>
        <v>62.016360691213961</v>
      </c>
      <c r="S13" s="27">
        <f t="shared" si="6"/>
        <v>0</v>
      </c>
      <c r="T13" s="29">
        <f>Q13+R13+S13</f>
        <v>304.90689186710034</v>
      </c>
      <c r="U13" s="68" t="s">
        <v>183</v>
      </c>
      <c r="V13" s="27">
        <f>IF($P13&gt;$T13,M13,Q13)</f>
        <v>379.3375351467464</v>
      </c>
      <c r="W13" s="27">
        <f t="shared" si="7"/>
        <v>441.54657871627302</v>
      </c>
      <c r="X13" s="27">
        <f t="shared" si="7"/>
        <v>0</v>
      </c>
      <c r="AA13" s="34"/>
      <c r="AB13" s="42" t="str">
        <f>"↙"&amp;AB15</f>
        <v>↙台61西</v>
      </c>
      <c r="AC13" s="42" t="str">
        <f>"↓"&amp;AC16</f>
        <v>↓台66南</v>
      </c>
      <c r="AD13" s="43" t="str">
        <f>"↘"&amp;AD15</f>
        <v>↘台61東</v>
      </c>
      <c r="AE13" s="21"/>
      <c r="AI13" s="182" t="s">
        <v>181</v>
      </c>
      <c r="AJ13" s="183"/>
      <c r="AK13" s="183"/>
      <c r="AL13" s="183"/>
      <c r="AM13" s="183"/>
      <c r="AN13" s="183"/>
      <c r="AO13" s="183"/>
      <c r="AP13" s="183"/>
      <c r="AQ13" s="183"/>
      <c r="BB13" s="34" t="str">
        <f>"↗"</f>
        <v>↗</v>
      </c>
      <c r="BC13" s="47"/>
      <c r="BD13" s="47"/>
      <c r="BE13" s="45"/>
      <c r="BF13" s="44"/>
      <c r="BG13" s="44"/>
      <c r="BH13" s="44"/>
      <c r="BI13" s="44"/>
      <c r="BJ13" s="44"/>
      <c r="BK13" s="50"/>
      <c r="BL13" s="22" t="str">
        <f>"↖"</f>
        <v>↖</v>
      </c>
    </row>
    <row r="14" spans="1:64">
      <c r="D14" s="36" t="s">
        <v>78</v>
      </c>
      <c r="E14" s="35">
        <v>0</v>
      </c>
      <c r="F14" s="35">
        <v>0</v>
      </c>
      <c r="G14" s="35">
        <v>0</v>
      </c>
      <c r="H14" s="35"/>
      <c r="I14" s="35">
        <v>0</v>
      </c>
      <c r="J14" s="35">
        <v>0</v>
      </c>
      <c r="K14" s="35">
        <v>0</v>
      </c>
      <c r="M14" s="27">
        <f t="shared" si="5"/>
        <v>0</v>
      </c>
      <c r="N14" s="27">
        <f t="shared" si="5"/>
        <v>0</v>
      </c>
      <c r="O14" s="27">
        <f t="shared" si="5"/>
        <v>0</v>
      </c>
      <c r="P14" s="29">
        <f>M14+N14+O14</f>
        <v>0</v>
      </c>
      <c r="Q14" s="27">
        <f t="shared" si="6"/>
        <v>0</v>
      </c>
      <c r="R14" s="27">
        <f t="shared" si="6"/>
        <v>0</v>
      </c>
      <c r="S14" s="27">
        <f t="shared" si="6"/>
        <v>0</v>
      </c>
      <c r="T14" s="29">
        <f>Q14+R14+S14</f>
        <v>0</v>
      </c>
      <c r="U14" s="68" t="s">
        <v>184</v>
      </c>
      <c r="V14" s="27">
        <f>IF($P14&gt;$T14,M14,Q14)</f>
        <v>0</v>
      </c>
      <c r="W14" s="27">
        <f t="shared" si="7"/>
        <v>0</v>
      </c>
      <c r="X14" s="27">
        <f t="shared" si="7"/>
        <v>0</v>
      </c>
      <c r="Z14" s="33">
        <f>V14</f>
        <v>0</v>
      </c>
      <c r="AA14" s="41" t="str">
        <f>"↗"&amp;AC14</f>
        <v>↗台66北</v>
      </c>
      <c r="AB14" s="71"/>
      <c r="AC14" s="72" t="str">
        <f>U15</f>
        <v>台66北</v>
      </c>
      <c r="AD14" s="73"/>
      <c r="AE14" s="66" t="str">
        <f>"↖"&amp;AC14</f>
        <v>↖台66北</v>
      </c>
      <c r="AF14" s="33">
        <f>X12</f>
        <v>158.88079623155215</v>
      </c>
      <c r="AJ14" s="33">
        <f>AC193</f>
        <v>3.3306611822622676</v>
      </c>
      <c r="AK14" s="33">
        <f>AD193</f>
        <v>902.6917587694943</v>
      </c>
      <c r="AM14" s="33">
        <f t="shared" ref="AM14:AO15" si="8">AH193</f>
        <v>1.9543549086001735</v>
      </c>
      <c r="AN14" s="33">
        <f t="shared" si="8"/>
        <v>9.6341439156346595</v>
      </c>
      <c r="AO14" s="33">
        <f t="shared" si="8"/>
        <v>30.553999275298487</v>
      </c>
      <c r="AP14" s="33"/>
      <c r="BB14" s="34" t="str">
        <f>"→"</f>
        <v>→</v>
      </c>
      <c r="BC14" s="44"/>
      <c r="BD14" s="44"/>
      <c r="BE14" s="44"/>
      <c r="BF14" s="44"/>
      <c r="BG14" s="44"/>
      <c r="BH14" s="44"/>
      <c r="BI14" s="44"/>
      <c r="BJ14" s="44"/>
      <c r="BK14" s="44"/>
      <c r="BL14" s="22" t="str">
        <f>"←"</f>
        <v>←</v>
      </c>
    </row>
    <row r="15" spans="1:64">
      <c r="D15" s="36" t="s">
        <v>79</v>
      </c>
      <c r="E15" s="35">
        <v>0</v>
      </c>
      <c r="F15" s="35">
        <v>47.080000000000005</v>
      </c>
      <c r="G15" s="35">
        <v>27.5</v>
      </c>
      <c r="H15" s="35"/>
      <c r="I15" s="35">
        <v>0</v>
      </c>
      <c r="J15" s="35">
        <v>159.34</v>
      </c>
      <c r="K15" s="35">
        <v>38.56</v>
      </c>
      <c r="M15" s="27">
        <f t="shared" si="5"/>
        <v>0</v>
      </c>
      <c r="N15" s="27">
        <f t="shared" si="5"/>
        <v>64.796499364011396</v>
      </c>
      <c r="O15" s="27">
        <f t="shared" si="5"/>
        <v>37.848422525707591</v>
      </c>
      <c r="P15" s="29">
        <f>M15+N15+O15</f>
        <v>102.64492188971899</v>
      </c>
      <c r="Q15" s="27">
        <f t="shared" si="6"/>
        <v>0</v>
      </c>
      <c r="R15" s="27">
        <f t="shared" si="6"/>
        <v>219.30064164531808</v>
      </c>
      <c r="S15" s="27">
        <f t="shared" si="6"/>
        <v>53.070369912410349</v>
      </c>
      <c r="T15" s="29">
        <f>Q15+R15+S15</f>
        <v>272.37101155772842</v>
      </c>
      <c r="U15" s="68" t="s">
        <v>185</v>
      </c>
      <c r="V15" s="27">
        <f>IF($P15&gt;$T15,M15,Q15)</f>
        <v>0</v>
      </c>
      <c r="W15" s="27">
        <f t="shared" si="7"/>
        <v>219.30064164531808</v>
      </c>
      <c r="X15" s="27">
        <f t="shared" si="7"/>
        <v>53.070369912410349</v>
      </c>
      <c r="Z15" s="33">
        <f>W14</f>
        <v>0</v>
      </c>
      <c r="AA15" s="41" t="str">
        <f>"→"&amp;AD15</f>
        <v>→台61東</v>
      </c>
      <c r="AB15" s="74" t="str">
        <f>U14</f>
        <v>台61西</v>
      </c>
      <c r="AC15" s="74"/>
      <c r="AD15" s="73" t="str">
        <f>U12</f>
        <v>台61東</v>
      </c>
      <c r="AE15" s="66" t="str">
        <f>"←"&amp;AB15</f>
        <v>←台61西</v>
      </c>
      <c r="AF15" s="33">
        <f>W12</f>
        <v>326.07448235602334</v>
      </c>
      <c r="AJ15" s="83" t="str">
        <f>AC194</f>
        <v>↙台66西</v>
      </c>
      <c r="AK15" s="83" t="str">
        <f>AD194</f>
        <v>↓市道115南</v>
      </c>
      <c r="AL15" s="86"/>
      <c r="AM15" s="83" t="str">
        <f t="shared" si="8"/>
        <v>⬑市道115北</v>
      </c>
      <c r="AN15" s="83" t="str">
        <f t="shared" si="8"/>
        <v>↙台66西</v>
      </c>
      <c r="AO15" s="83" t="str">
        <f t="shared" si="8"/>
        <v>↓市道115南</v>
      </c>
      <c r="BB15" s="34" t="str">
        <f>"↘"</f>
        <v>↘</v>
      </c>
      <c r="BC15" s="47"/>
      <c r="BD15" s="47"/>
      <c r="BE15" s="45"/>
      <c r="BF15" s="44"/>
      <c r="BG15" s="44"/>
      <c r="BH15" s="44"/>
      <c r="BI15" s="44"/>
      <c r="BJ15" s="44"/>
      <c r="BK15" s="44"/>
      <c r="BL15" s="22" t="str">
        <f>"↙"</f>
        <v>↙</v>
      </c>
    </row>
    <row r="16" spans="1:64">
      <c r="U16" s="68"/>
      <c r="Z16" s="33">
        <f>X14</f>
        <v>0</v>
      </c>
      <c r="AA16" s="41" t="str">
        <f>"↘"&amp;AC16</f>
        <v>↘台66南</v>
      </c>
      <c r="AB16" s="74"/>
      <c r="AC16" s="74" t="str">
        <f>U13</f>
        <v>台66南</v>
      </c>
      <c r="AD16" s="73"/>
      <c r="AE16" s="66" t="str">
        <f>"↙"&amp;AC16</f>
        <v>↙台66南</v>
      </c>
      <c r="AF16" s="33">
        <f>V12</f>
        <v>606.62075317930464</v>
      </c>
      <c r="AM16" s="42"/>
      <c r="AP16" s="84" t="str">
        <f t="shared" ref="AP16:AQ19" si="9">AL195</f>
        <v>↖文化路石橋段625巷</v>
      </c>
      <c r="AQ16" s="33">
        <f t="shared" si="9"/>
        <v>2.7526125473241883</v>
      </c>
      <c r="BB16" s="41"/>
      <c r="BC16" s="8" t="str">
        <f>"↖"</f>
        <v>↖</v>
      </c>
      <c r="BD16" s="8" t="str">
        <f>"↑"</f>
        <v>↑</v>
      </c>
      <c r="BE16" s="6" t="str">
        <f>"↗"</f>
        <v>↗</v>
      </c>
      <c r="BF16" s="6" t="str">
        <f>"↗"</f>
        <v>↗</v>
      </c>
      <c r="BG16" s="44"/>
      <c r="BH16" s="8"/>
      <c r="BI16" s="8"/>
      <c r="BJ16" s="6"/>
      <c r="BK16" s="6"/>
      <c r="BL16" s="44"/>
    </row>
    <row r="17" spans="4:44">
      <c r="U17" s="68"/>
      <c r="AA17" s="34"/>
      <c r="AB17" s="47" t="str">
        <f>"↖"&amp;AB15</f>
        <v>↖台61西</v>
      </c>
      <c r="AC17" s="47" t="str">
        <f>"↑"&amp;AC14</f>
        <v>↑台66北</v>
      </c>
      <c r="AD17" s="43" t="str">
        <f>"↗"&amp;AD15</f>
        <v>↗台61東</v>
      </c>
      <c r="AE17" s="21"/>
      <c r="AP17" s="84" t="str">
        <f t="shared" si="9"/>
        <v>↖市道115北</v>
      </c>
      <c r="AQ17" s="33">
        <f t="shared" si="9"/>
        <v>594.39915346918519</v>
      </c>
    </row>
    <row r="18" spans="4:44">
      <c r="U18" s="68"/>
      <c r="AB18" s="33">
        <f>V13</f>
        <v>379.3375351467464</v>
      </c>
      <c r="AC18" s="33">
        <f>W13</f>
        <v>441.54657871627302</v>
      </c>
      <c r="AD18" s="33">
        <f>X13</f>
        <v>0</v>
      </c>
      <c r="AP18" s="84" t="str">
        <f t="shared" si="9"/>
        <v>←台66西</v>
      </c>
      <c r="AQ18" s="33">
        <f t="shared" si="9"/>
        <v>126.28986367123375</v>
      </c>
    </row>
    <row r="19" spans="4:44">
      <c r="E19" s="184" t="s">
        <v>55</v>
      </c>
      <c r="F19" s="185"/>
      <c r="G19" s="185"/>
      <c r="H19" s="185"/>
      <c r="I19" s="185"/>
      <c r="J19" s="185"/>
      <c r="K19" s="185"/>
      <c r="M19" s="182" t="str">
        <f>E19</f>
        <v>台61/台66(南側)</v>
      </c>
      <c r="N19" s="183"/>
      <c r="O19" s="183"/>
      <c r="P19" s="183"/>
      <c r="Q19" s="183"/>
      <c r="R19" s="183"/>
      <c r="S19" s="183"/>
      <c r="T19" s="183"/>
      <c r="U19" s="68"/>
      <c r="V19" s="182" t="str">
        <f>M19</f>
        <v>台61/台66(南側)</v>
      </c>
      <c r="W19" s="183"/>
      <c r="X19" s="183"/>
      <c r="Z19" s="17"/>
      <c r="AA19" s="182" t="str">
        <f>V19</f>
        <v>台61/台66(南側)</v>
      </c>
      <c r="AB19" s="183"/>
      <c r="AC19" s="183"/>
      <c r="AD19" s="183"/>
      <c r="AE19" s="183"/>
      <c r="AK19" s="77">
        <f>AC60</f>
        <v>542.81519433232984</v>
      </c>
      <c r="AL19" s="77">
        <f>AD60</f>
        <v>403.23021205752036</v>
      </c>
      <c r="AP19" s="84" t="str">
        <f t="shared" si="9"/>
        <v>↙市道115南</v>
      </c>
      <c r="AQ19" s="33">
        <f t="shared" si="9"/>
        <v>31.737622670647895</v>
      </c>
    </row>
    <row r="20" spans="4:44">
      <c r="D20" s="36" t="s">
        <v>78</v>
      </c>
      <c r="E20" s="35">
        <v>0</v>
      </c>
      <c r="F20" s="35">
        <v>0</v>
      </c>
      <c r="G20" s="35">
        <v>0</v>
      </c>
      <c r="H20" s="35"/>
      <c r="I20" s="35">
        <v>0</v>
      </c>
      <c r="J20" s="35">
        <v>0</v>
      </c>
      <c r="K20" s="35">
        <v>0</v>
      </c>
      <c r="M20" s="27">
        <f t="shared" ref="M20:O23" si="10">E20*(1+$B$5)^($B$4-$B$3)</f>
        <v>0</v>
      </c>
      <c r="N20" s="27">
        <f t="shared" si="10"/>
        <v>0</v>
      </c>
      <c r="O20" s="27">
        <f t="shared" si="10"/>
        <v>0</v>
      </c>
      <c r="P20" s="29">
        <f>M20+N20+O20</f>
        <v>0</v>
      </c>
      <c r="Q20" s="27">
        <f t="shared" ref="Q20:S23" si="11">I20*(1+$B$5)^($B$4-$B$3)</f>
        <v>0</v>
      </c>
      <c r="R20" s="27">
        <f t="shared" si="11"/>
        <v>0</v>
      </c>
      <c r="S20" s="27">
        <f t="shared" si="11"/>
        <v>0</v>
      </c>
      <c r="T20" s="29">
        <f>Q20+R20+S20</f>
        <v>0</v>
      </c>
      <c r="U20" s="68" t="s">
        <v>182</v>
      </c>
      <c r="V20" s="27">
        <f>IF($P20&gt;$T20,M20,Q20)</f>
        <v>0</v>
      </c>
      <c r="W20" s="27">
        <f t="shared" ref="W20:X23" si="12">IF($P20&gt;$T20,N20,R20)</f>
        <v>0</v>
      </c>
      <c r="X20" s="27">
        <f t="shared" si="12"/>
        <v>0</v>
      </c>
      <c r="AB20" s="33">
        <f>X23</f>
        <v>0</v>
      </c>
      <c r="AC20" s="33">
        <f>W23</f>
        <v>653.0022746017172</v>
      </c>
      <c r="AD20" s="33">
        <f>V23</f>
        <v>180.84664435919919</v>
      </c>
      <c r="AK20" s="42" t="str">
        <f>AC61</f>
        <v>↓市道115南</v>
      </c>
      <c r="AL20" s="42" t="str">
        <f>AD61</f>
        <v>↘台66東</v>
      </c>
      <c r="AM20" s="83" t="str">
        <f t="shared" ref="AM20:AO21" si="13">AC199</f>
        <v>↖台66西</v>
      </c>
      <c r="AN20" s="83" t="str">
        <f t="shared" si="13"/>
        <v>↑市道115北</v>
      </c>
      <c r="AO20" s="85" t="str">
        <f t="shared" si="13"/>
        <v>↑文化路石橋段625巷</v>
      </c>
      <c r="AP20" s="86"/>
    </row>
    <row r="21" spans="4:44">
      <c r="D21" s="36" t="s">
        <v>79</v>
      </c>
      <c r="E21" s="35">
        <v>0</v>
      </c>
      <c r="F21" s="35">
        <v>531.96</v>
      </c>
      <c r="G21" s="35">
        <v>598.16</v>
      </c>
      <c r="H21" s="35"/>
      <c r="I21" s="35">
        <v>0</v>
      </c>
      <c r="J21" s="35">
        <v>207.48000000000002</v>
      </c>
      <c r="K21" s="35">
        <v>273.56</v>
      </c>
      <c r="M21" s="27">
        <f t="shared" si="10"/>
        <v>0</v>
      </c>
      <c r="N21" s="27">
        <f t="shared" si="10"/>
        <v>732.13988533728764</v>
      </c>
      <c r="O21" s="27">
        <f t="shared" si="10"/>
        <v>823.25136065371817</v>
      </c>
      <c r="P21" s="29">
        <f>M21+N21+O21</f>
        <v>1555.3912459910057</v>
      </c>
      <c r="Q21" s="27">
        <f t="shared" si="11"/>
        <v>0</v>
      </c>
      <c r="R21" s="27">
        <f t="shared" si="11"/>
        <v>285.55602565941132</v>
      </c>
      <c r="S21" s="27">
        <f t="shared" si="11"/>
        <v>376.50234422300247</v>
      </c>
      <c r="T21" s="29">
        <f>Q21+R21+S21</f>
        <v>662.05836988241379</v>
      </c>
      <c r="U21" s="68" t="s">
        <v>183</v>
      </c>
      <c r="V21" s="27">
        <f>IF($P21&gt;$T21,M21,Q21)</f>
        <v>0</v>
      </c>
      <c r="W21" s="27">
        <f t="shared" si="12"/>
        <v>732.13988533728764</v>
      </c>
      <c r="X21" s="27">
        <f t="shared" si="12"/>
        <v>823.25136065371817</v>
      </c>
      <c r="AA21" s="34"/>
      <c r="AB21" s="42" t="str">
        <f>"↙"&amp;AB23</f>
        <v>↙台61西</v>
      </c>
      <c r="AC21" s="42" t="str">
        <f>"↓"&amp;AC24</f>
        <v>↓台66南</v>
      </c>
      <c r="AD21" s="43" t="str">
        <f>"↘"&amp;AD23</f>
        <v>↘台61東</v>
      </c>
      <c r="AE21" s="21"/>
      <c r="AI21" s="77">
        <f t="shared" ref="AI21:AJ23" si="14">Z62</f>
        <v>16.240414029212712</v>
      </c>
      <c r="AJ21" s="42" t="str">
        <f t="shared" si="14"/>
        <v>↗市道115北</v>
      </c>
      <c r="AM21" s="77">
        <f t="shared" si="13"/>
        <v>140.13550478427442</v>
      </c>
      <c r="AN21" s="77">
        <f t="shared" si="13"/>
        <v>584.21448704408579</v>
      </c>
      <c r="AO21" s="77">
        <f t="shared" si="13"/>
        <v>6.6613223645245352</v>
      </c>
    </row>
    <row r="22" spans="4:44">
      <c r="D22" s="36" t="s">
        <v>78</v>
      </c>
      <c r="E22" s="35">
        <v>62.86</v>
      </c>
      <c r="F22" s="35">
        <v>317.06</v>
      </c>
      <c r="G22" s="35">
        <v>140.41999999999999</v>
      </c>
      <c r="H22" s="35"/>
      <c r="I22" s="35">
        <v>12.68</v>
      </c>
      <c r="J22" s="35">
        <v>238.54</v>
      </c>
      <c r="K22" s="35">
        <v>225.84</v>
      </c>
      <c r="M22" s="27">
        <f t="shared" si="10"/>
        <v>86.514612362399234</v>
      </c>
      <c r="N22" s="27">
        <f t="shared" si="10"/>
        <v>436.37166712730357</v>
      </c>
      <c r="O22" s="27">
        <f t="shared" si="10"/>
        <v>193.26092694763125</v>
      </c>
      <c r="P22" s="29">
        <f>M22+N22+O22</f>
        <v>716.14720643733403</v>
      </c>
      <c r="Q22" s="27">
        <f t="shared" si="11"/>
        <v>17.451563550035353</v>
      </c>
      <c r="R22" s="27">
        <f t="shared" si="11"/>
        <v>328.30409851935593</v>
      </c>
      <c r="S22" s="27">
        <f t="shared" si="11"/>
        <v>310.82500884384734</v>
      </c>
      <c r="T22" s="29">
        <f>Q22+R22+S22</f>
        <v>656.58067091323869</v>
      </c>
      <c r="U22" s="68" t="s">
        <v>184</v>
      </c>
      <c r="V22" s="27">
        <f>IF($P22&gt;$T22,M22,Q22)</f>
        <v>86.514612362399234</v>
      </c>
      <c r="W22" s="27">
        <f t="shared" si="12"/>
        <v>436.37166712730357</v>
      </c>
      <c r="X22" s="27">
        <f t="shared" si="12"/>
        <v>193.26092694763125</v>
      </c>
      <c r="Z22" s="33">
        <f>V22</f>
        <v>86.514612362399234</v>
      </c>
      <c r="AA22" s="41" t="str">
        <f>"↗"&amp;AC22</f>
        <v>↗台66北</v>
      </c>
      <c r="AB22" s="71"/>
      <c r="AC22" s="72" t="str">
        <f>U23</f>
        <v>台66北</v>
      </c>
      <c r="AD22" s="73"/>
      <c r="AE22" s="66" t="str">
        <f>"↖"&amp;AC22</f>
        <v>↖台66北</v>
      </c>
      <c r="AF22" s="33">
        <f>X20</f>
        <v>0</v>
      </c>
      <c r="AI22" s="77">
        <f t="shared" si="14"/>
        <v>103.41565340296975</v>
      </c>
      <c r="AJ22" s="42" t="str">
        <f t="shared" si="14"/>
        <v>→台66東</v>
      </c>
    </row>
    <row r="23" spans="4:44">
      <c r="D23" s="36" t="s">
        <v>79</v>
      </c>
      <c r="E23" s="35">
        <v>87.26</v>
      </c>
      <c r="F23" s="35">
        <v>257.68</v>
      </c>
      <c r="G23" s="35">
        <v>0</v>
      </c>
      <c r="H23" s="35"/>
      <c r="I23" s="35">
        <v>131.4</v>
      </c>
      <c r="J23" s="35">
        <v>474.46</v>
      </c>
      <c r="K23" s="35">
        <v>0</v>
      </c>
      <c r="M23" s="27">
        <f t="shared" si="10"/>
        <v>120.09648543975435</v>
      </c>
      <c r="N23" s="27">
        <f t="shared" si="10"/>
        <v>354.64660059724844</v>
      </c>
      <c r="O23" s="27">
        <f t="shared" si="10"/>
        <v>0</v>
      </c>
      <c r="P23" s="29">
        <f>M23+N23+O23</f>
        <v>474.7430860370028</v>
      </c>
      <c r="Q23" s="27">
        <f t="shared" si="11"/>
        <v>180.84664435919919</v>
      </c>
      <c r="R23" s="27">
        <f t="shared" si="11"/>
        <v>653.0022746017172</v>
      </c>
      <c r="S23" s="27">
        <f t="shared" si="11"/>
        <v>0</v>
      </c>
      <c r="T23" s="29">
        <f>Q23+R23+S23</f>
        <v>833.84891896091642</v>
      </c>
      <c r="U23" s="68" t="s">
        <v>185</v>
      </c>
      <c r="V23" s="27">
        <f>IF($P23&gt;$T23,M23,Q23)</f>
        <v>180.84664435919919</v>
      </c>
      <c r="W23" s="27">
        <f t="shared" si="12"/>
        <v>653.0022746017172</v>
      </c>
      <c r="X23" s="27">
        <f t="shared" si="12"/>
        <v>0</v>
      </c>
      <c r="Z23" s="33">
        <f>W22</f>
        <v>436.37166712730357</v>
      </c>
      <c r="AA23" s="41" t="str">
        <f>"→"&amp;AD23</f>
        <v>→台61東</v>
      </c>
      <c r="AB23" s="74" t="str">
        <f>U22</f>
        <v>台61西</v>
      </c>
      <c r="AC23" s="74"/>
      <c r="AD23" s="73" t="str">
        <f>U20</f>
        <v>台61東</v>
      </c>
      <c r="AE23" s="66" t="str">
        <f>"←"&amp;AB23</f>
        <v>←台61西</v>
      </c>
      <c r="AF23" s="33">
        <f>W20</f>
        <v>0</v>
      </c>
      <c r="AI23" s="77">
        <f t="shared" si="14"/>
        <v>124.80345289567869</v>
      </c>
      <c r="AJ23" s="42" t="str">
        <f t="shared" si="14"/>
        <v>↘市道115南</v>
      </c>
    </row>
    <row r="24" spans="4:44">
      <c r="U24" s="68"/>
      <c r="Z24" s="33">
        <f>X22</f>
        <v>193.26092694763125</v>
      </c>
      <c r="AA24" s="41" t="str">
        <f>"↘"&amp;AC24</f>
        <v>↘台66南</v>
      </c>
      <c r="AB24" s="74"/>
      <c r="AC24" s="74" t="str">
        <f>U21</f>
        <v>台66南</v>
      </c>
      <c r="AD24" s="73"/>
      <c r="AE24" s="66" t="str">
        <f>"↙"&amp;AC24</f>
        <v>↙台66南</v>
      </c>
      <c r="AF24" s="33">
        <f>V20</f>
        <v>0</v>
      </c>
      <c r="AN24" s="42" t="str">
        <f>AC65</f>
        <v>↑市道115北</v>
      </c>
      <c r="AO24" s="42" t="str">
        <f>AD65</f>
        <v>↗台66東</v>
      </c>
    </row>
    <row r="25" spans="4:44">
      <c r="U25" s="68"/>
      <c r="AA25" s="34"/>
      <c r="AB25" s="47" t="str">
        <f>"↖"&amp;AB23</f>
        <v>↖台61西</v>
      </c>
      <c r="AC25" s="47" t="str">
        <f>"↑"&amp;AC22</f>
        <v>↑台66北</v>
      </c>
      <c r="AD25" s="43" t="str">
        <f>"↗"&amp;AD23</f>
        <v>↗台61東</v>
      </c>
      <c r="AE25" s="21"/>
      <c r="AN25" s="77">
        <f>AC66</f>
        <v>705.76985713392185</v>
      </c>
      <c r="AO25" s="77">
        <f>AD66</f>
        <v>0</v>
      </c>
    </row>
    <row r="26" spans="4:44">
      <c r="U26" s="68"/>
      <c r="AB26" s="33">
        <f>V21</f>
        <v>0</v>
      </c>
      <c r="AC26" s="33">
        <f>W21</f>
        <v>732.13988533728764</v>
      </c>
      <c r="AD26" s="33">
        <f>X21</f>
        <v>823.25136065371817</v>
      </c>
    </row>
    <row r="27" spans="4:44" ht="16.5" customHeight="1">
      <c r="E27" s="184" t="s">
        <v>56</v>
      </c>
      <c r="F27" s="185"/>
      <c r="G27" s="185"/>
      <c r="H27" s="185"/>
      <c r="I27" s="185"/>
      <c r="J27" s="185"/>
      <c r="K27" s="185"/>
      <c r="M27" s="182" t="str">
        <f>E27</f>
        <v>台15/市道112</v>
      </c>
      <c r="N27" s="183"/>
      <c r="O27" s="183"/>
      <c r="P27" s="183"/>
      <c r="Q27" s="183"/>
      <c r="R27" s="183"/>
      <c r="S27" s="183"/>
      <c r="T27" s="183"/>
      <c r="U27" s="68"/>
      <c r="V27" s="182" t="str">
        <f>M27</f>
        <v>台15/市道112</v>
      </c>
      <c r="W27" s="183"/>
      <c r="X27" s="183"/>
      <c r="Z27" s="17"/>
      <c r="AA27" s="182" t="str">
        <f>V27</f>
        <v>台15/市道112</v>
      </c>
      <c r="AB27" s="183"/>
      <c r="AC27" s="183"/>
      <c r="AD27" s="183"/>
      <c r="AE27" s="183"/>
      <c r="AI27" s="182" t="s">
        <v>188</v>
      </c>
      <c r="AJ27" s="183"/>
      <c r="AK27" s="183"/>
      <c r="AL27" s="183"/>
      <c r="AM27" s="183"/>
      <c r="AN27" s="183"/>
      <c r="AO27" s="183"/>
      <c r="AP27" s="183"/>
      <c r="AQ27" s="183"/>
      <c r="AR27" s="183"/>
    </row>
    <row r="28" spans="4:44">
      <c r="D28" s="36" t="s">
        <v>80</v>
      </c>
      <c r="E28" s="35">
        <v>7</v>
      </c>
      <c r="F28" s="35">
        <v>418.76</v>
      </c>
      <c r="G28" s="35">
        <v>348.86</v>
      </c>
      <c r="H28" s="38"/>
      <c r="I28" s="35">
        <v>7.8</v>
      </c>
      <c r="J28" s="35">
        <v>410.12</v>
      </c>
      <c r="K28" s="35">
        <v>285.36</v>
      </c>
      <c r="M28" s="27">
        <f t="shared" ref="M28:O31" si="15">E28*(1+$B$5)^($B$4-$B$3)</f>
        <v>9.6341439156346595</v>
      </c>
      <c r="N28" s="27">
        <f t="shared" si="15"/>
        <v>576.34201515873849</v>
      </c>
      <c r="O28" s="27">
        <f t="shared" si="15"/>
        <v>480.1382066297582</v>
      </c>
      <c r="P28" s="29">
        <f>M28+N28+O28</f>
        <v>1066.1143657041314</v>
      </c>
      <c r="Q28" s="27">
        <f t="shared" ref="Q28:S31" si="16">I28*(1+$B$5)^($B$4-$B$3)</f>
        <v>10.735188934564334</v>
      </c>
      <c r="R28" s="27">
        <f t="shared" si="16"/>
        <v>564.45072895429803</v>
      </c>
      <c r="S28" s="27">
        <f t="shared" si="16"/>
        <v>392.7427582522152</v>
      </c>
      <c r="T28" s="29">
        <f>Q28+R28+S28</f>
        <v>967.92867614107763</v>
      </c>
      <c r="U28" s="68" t="str">
        <f>D28</f>
        <v>(台15)大觀路四段</v>
      </c>
      <c r="V28" s="27">
        <f>IF($P28&gt;$T28,M28,Q28)</f>
        <v>9.6341439156346595</v>
      </c>
      <c r="W28" s="27">
        <f t="shared" ref="W28:X31" si="17">IF($P28&gt;$T28,N28,R28)</f>
        <v>576.34201515873849</v>
      </c>
      <c r="X28" s="27">
        <f t="shared" si="17"/>
        <v>480.1382066297582</v>
      </c>
      <c r="AB28" s="33">
        <f>X31</f>
        <v>1.7341459048142387</v>
      </c>
      <c r="AC28" s="33">
        <f>W31</f>
        <v>466.37514389313725</v>
      </c>
      <c r="AD28" s="33">
        <f>V31</f>
        <v>393.6235942673589</v>
      </c>
      <c r="AJ28" s="77">
        <f t="shared" ref="AJ28:AL29" si="18">AB92</f>
        <v>77.596147709068873</v>
      </c>
      <c r="AK28" s="77">
        <f t="shared" si="18"/>
        <v>323.2392914322794</v>
      </c>
      <c r="AL28" s="77">
        <f t="shared" si="18"/>
        <v>147.45745416015677</v>
      </c>
    </row>
    <row r="29" spans="4:44">
      <c r="D29" s="36" t="s">
        <v>81</v>
      </c>
      <c r="E29" s="35">
        <v>89.32</v>
      </c>
      <c r="F29" s="35">
        <v>368.74</v>
      </c>
      <c r="G29" s="35">
        <v>17.860000000000003</v>
      </c>
      <c r="H29" s="38"/>
      <c r="I29" s="35">
        <v>37</v>
      </c>
      <c r="J29" s="35">
        <v>166.3</v>
      </c>
      <c r="K29" s="35">
        <v>15.5</v>
      </c>
      <c r="M29" s="27">
        <f t="shared" si="15"/>
        <v>122.93167636349824</v>
      </c>
      <c r="N29" s="27">
        <f t="shared" si="15"/>
        <v>507.49917535016061</v>
      </c>
      <c r="O29" s="27">
        <f t="shared" si="15"/>
        <v>24.580830047605005</v>
      </c>
      <c r="P29" s="29">
        <f>M29+N29+O29</f>
        <v>655.01168176126384</v>
      </c>
      <c r="Q29" s="27">
        <f t="shared" si="16"/>
        <v>50.923332125497481</v>
      </c>
      <c r="R29" s="27">
        <f t="shared" si="16"/>
        <v>228.87973331000626</v>
      </c>
      <c r="S29" s="27">
        <f t="shared" si="16"/>
        <v>21.332747241762458</v>
      </c>
      <c r="T29" s="29">
        <f>Q29+R29+S29</f>
        <v>301.13581267726619</v>
      </c>
      <c r="U29" s="68" t="str">
        <f>D29</f>
        <v>(市道112)中山路一段</v>
      </c>
      <c r="V29" s="27">
        <f>IF($P29&gt;$T29,M29,Q29)</f>
        <v>122.93167636349824</v>
      </c>
      <c r="W29" s="27">
        <f t="shared" si="17"/>
        <v>507.49917535016061</v>
      </c>
      <c r="X29" s="27">
        <f t="shared" si="17"/>
        <v>24.580830047605005</v>
      </c>
      <c r="AA29" s="34"/>
      <c r="AB29" s="7" t="s">
        <v>16</v>
      </c>
      <c r="AC29" s="7" t="s">
        <v>38</v>
      </c>
      <c r="AD29" s="6" t="s">
        <v>15</v>
      </c>
      <c r="AE29" s="21"/>
      <c r="AJ29" s="42" t="str">
        <f t="shared" si="18"/>
        <v>↙市道114西</v>
      </c>
      <c r="AK29" s="42" t="str">
        <f t="shared" si="18"/>
        <v>↓台66(東入)</v>
      </c>
      <c r="AL29" s="42" t="str">
        <f t="shared" si="18"/>
        <v>↘市道114東</v>
      </c>
    </row>
    <row r="30" spans="4:44">
      <c r="D30" s="36" t="s">
        <v>82</v>
      </c>
      <c r="E30" s="35">
        <v>6.42</v>
      </c>
      <c r="F30" s="35">
        <v>529.56000000000006</v>
      </c>
      <c r="G30" s="35">
        <v>89.039999999999992</v>
      </c>
      <c r="H30" s="38"/>
      <c r="I30" s="35">
        <v>1</v>
      </c>
      <c r="J30" s="35">
        <v>353.08</v>
      </c>
      <c r="K30" s="35">
        <v>111.34</v>
      </c>
      <c r="M30" s="27">
        <f t="shared" si="15"/>
        <v>8.8358862769106441</v>
      </c>
      <c r="N30" s="27">
        <f t="shared" si="15"/>
        <v>728.83675028049868</v>
      </c>
      <c r="O30" s="27">
        <f t="shared" si="15"/>
        <v>122.54631060687285</v>
      </c>
      <c r="P30" s="29">
        <f>M30+N30+O30</f>
        <v>860.2189471642821</v>
      </c>
      <c r="Q30" s="27">
        <f t="shared" si="16"/>
        <v>1.3763062736620941</v>
      </c>
      <c r="R30" s="27">
        <f t="shared" si="16"/>
        <v>485.94621910461217</v>
      </c>
      <c r="S30" s="27">
        <f t="shared" si="16"/>
        <v>153.23794050953757</v>
      </c>
      <c r="T30" s="29">
        <f>Q30+R30+S30</f>
        <v>640.5604658878118</v>
      </c>
      <c r="U30" s="68" t="str">
        <f>D30</f>
        <v>濱海路廣興段</v>
      </c>
      <c r="V30" s="27">
        <f>IF($P30&gt;$T30,M30,Q30)</f>
        <v>8.8358862769106441</v>
      </c>
      <c r="W30" s="27">
        <f t="shared" si="17"/>
        <v>728.83675028049868</v>
      </c>
      <c r="X30" s="27">
        <f t="shared" si="17"/>
        <v>122.54631060687285</v>
      </c>
      <c r="Z30" s="33">
        <f>V30</f>
        <v>8.8358862769106441</v>
      </c>
      <c r="AA30" s="34" t="s">
        <v>14</v>
      </c>
      <c r="AB30" s="71"/>
      <c r="AC30" s="72" t="str">
        <f>U31</f>
        <v>中山路一段</v>
      </c>
      <c r="AD30" s="73"/>
      <c r="AE30" s="22" t="s">
        <v>17</v>
      </c>
      <c r="AF30" s="33">
        <f>X28</f>
        <v>480.1382066297582</v>
      </c>
      <c r="AQ30" s="79" t="str">
        <f>AL208</f>
        <v>↖台66北</v>
      </c>
      <c r="AR30" s="77">
        <f>AM208</f>
        <v>156.6236539427463</v>
      </c>
    </row>
    <row r="31" spans="4:44">
      <c r="D31" s="36" t="s">
        <v>83</v>
      </c>
      <c r="E31" s="35">
        <v>158.42000000000002</v>
      </c>
      <c r="F31" s="35">
        <v>179.14</v>
      </c>
      <c r="G31" s="35">
        <v>3.8</v>
      </c>
      <c r="H31" s="38"/>
      <c r="I31" s="35">
        <v>286</v>
      </c>
      <c r="J31" s="35">
        <v>338.86</v>
      </c>
      <c r="K31" s="35">
        <v>1.26</v>
      </c>
      <c r="M31" s="27">
        <f t="shared" si="15"/>
        <v>218.03443987354896</v>
      </c>
      <c r="N31" s="27">
        <f t="shared" si="15"/>
        <v>246.55150586382751</v>
      </c>
      <c r="O31" s="27">
        <f t="shared" si="15"/>
        <v>5.2299638399159578</v>
      </c>
      <c r="P31" s="29">
        <f>M31+N31+O31</f>
        <v>469.81590957729247</v>
      </c>
      <c r="Q31" s="27">
        <f t="shared" si="16"/>
        <v>393.6235942673589</v>
      </c>
      <c r="R31" s="27">
        <f t="shared" si="16"/>
        <v>466.37514389313725</v>
      </c>
      <c r="S31" s="27">
        <f t="shared" si="16"/>
        <v>1.7341459048142387</v>
      </c>
      <c r="T31" s="29">
        <f>Q31+R31+S31</f>
        <v>861.73288406531037</v>
      </c>
      <c r="U31" s="68" t="str">
        <f>D31</f>
        <v>中山路一段</v>
      </c>
      <c r="V31" s="27">
        <f>IF($P31&gt;$T31,M31,Q31)</f>
        <v>393.6235942673589</v>
      </c>
      <c r="W31" s="27">
        <f t="shared" si="17"/>
        <v>466.37514389313725</v>
      </c>
      <c r="X31" s="27">
        <f t="shared" si="17"/>
        <v>1.7341459048142387</v>
      </c>
      <c r="Z31" s="33">
        <f>W30</f>
        <v>728.83675028049868</v>
      </c>
      <c r="AA31" s="34" t="s">
        <v>52</v>
      </c>
      <c r="AB31" s="74" t="str">
        <f>U30</f>
        <v>濱海路廣興段</v>
      </c>
      <c r="AC31" s="74"/>
      <c r="AD31" s="73" t="str">
        <f>U28</f>
        <v>(台15)大觀路四段</v>
      </c>
      <c r="AE31" s="22" t="s">
        <v>53</v>
      </c>
      <c r="AF31" s="33">
        <f>W28</f>
        <v>576.34201515873849</v>
      </c>
      <c r="AL31" s="66" t="str">
        <f>AE95</f>
        <v>←市道114西</v>
      </c>
      <c r="AM31" s="78">
        <f>AF95</f>
        <v>1712.813157572476</v>
      </c>
      <c r="AQ31" s="79" t="str">
        <f>AL209</f>
        <v>←市道114西</v>
      </c>
      <c r="AR31" s="77">
        <f>AM209</f>
        <v>644.52422795595862</v>
      </c>
    </row>
    <row r="32" spans="4:44">
      <c r="U32" s="68"/>
      <c r="Z32" s="33">
        <f>X30</f>
        <v>122.54631060687285</v>
      </c>
      <c r="AA32" s="34" t="s">
        <v>15</v>
      </c>
      <c r="AB32" s="74"/>
      <c r="AC32" s="74" t="str">
        <f>U29</f>
        <v>(市道112)中山路一段</v>
      </c>
      <c r="AD32" s="73"/>
      <c r="AE32" s="22" t="s">
        <v>16</v>
      </c>
      <c r="AF32" s="33">
        <f>V28</f>
        <v>9.6341439156346595</v>
      </c>
      <c r="AL32" s="66" t="str">
        <f>AE96</f>
        <v>↙台66(東入)</v>
      </c>
      <c r="AM32" s="78">
        <f>AF96</f>
        <v>52.850160908624424</v>
      </c>
      <c r="AQ32" s="79" t="str">
        <f>AL211</f>
        <v>↙中山東路二段130巷</v>
      </c>
      <c r="AR32" s="77">
        <f>AM211</f>
        <v>0</v>
      </c>
    </row>
    <row r="33" spans="4:44">
      <c r="U33" s="68"/>
      <c r="AA33" s="34"/>
      <c r="AB33" s="8" t="s">
        <v>17</v>
      </c>
      <c r="AC33" s="8" t="s">
        <v>39</v>
      </c>
      <c r="AD33" s="6" t="s">
        <v>14</v>
      </c>
      <c r="AE33" s="21"/>
    </row>
    <row r="34" spans="4:44">
      <c r="U34" s="68"/>
      <c r="AB34" s="33">
        <f>V29</f>
        <v>122.93167636349824</v>
      </c>
      <c r="AC34" s="33">
        <f>W29</f>
        <v>507.49917535016061</v>
      </c>
      <c r="AD34" s="33">
        <f>X29</f>
        <v>24.580830047605005</v>
      </c>
      <c r="AM34" s="52">
        <f t="shared" ref="AM34:AN36" si="19">AA208</f>
        <v>37.187795514349787</v>
      </c>
      <c r="AN34" s="82" t="str">
        <f t="shared" si="19"/>
        <v>↗台66北</v>
      </c>
    </row>
    <row r="35" spans="4:44" ht="16.5" customHeight="1">
      <c r="E35" s="184" t="s">
        <v>57</v>
      </c>
      <c r="F35" s="185"/>
      <c r="G35" s="185"/>
      <c r="H35" s="185"/>
      <c r="I35" s="185"/>
      <c r="J35" s="185"/>
      <c r="K35" s="185"/>
      <c r="M35" s="182" t="str">
        <f>E35</f>
        <v>台15/市道115</v>
      </c>
      <c r="N35" s="183"/>
      <c r="O35" s="183"/>
      <c r="P35" s="183"/>
      <c r="Q35" s="183"/>
      <c r="R35" s="183"/>
      <c r="S35" s="183"/>
      <c r="T35" s="183"/>
      <c r="U35" s="68"/>
      <c r="V35" s="182" t="str">
        <f>M35</f>
        <v>台15/市道115</v>
      </c>
      <c r="W35" s="183"/>
      <c r="X35" s="183"/>
      <c r="Z35" s="17"/>
      <c r="AA35" s="182" t="str">
        <f>V35</f>
        <v>台15/市道115</v>
      </c>
      <c r="AB35" s="183"/>
      <c r="AC35" s="183"/>
      <c r="AD35" s="183"/>
      <c r="AE35" s="183"/>
      <c r="AI35" s="33">
        <f>Z95</f>
        <v>572.21309633775229</v>
      </c>
      <c r="AJ35" s="41" t="str">
        <f>AA95</f>
        <v>→市道114東</v>
      </c>
      <c r="AM35" s="52">
        <f t="shared" si="19"/>
        <v>641.606458655795</v>
      </c>
      <c r="AN35" s="82" t="str">
        <f t="shared" si="19"/>
        <v>→市道114東</v>
      </c>
    </row>
    <row r="36" spans="4:44">
      <c r="D36" s="36" t="s">
        <v>84</v>
      </c>
      <c r="E36" s="35">
        <v>154.22</v>
      </c>
      <c r="F36" s="35">
        <v>297.94</v>
      </c>
      <c r="G36" s="35">
        <v>84.88000000000001</v>
      </c>
      <c r="H36" s="35"/>
      <c r="I36" s="35">
        <v>195.12</v>
      </c>
      <c r="J36" s="35">
        <v>226.28</v>
      </c>
      <c r="K36" s="35">
        <v>46.34</v>
      </c>
      <c r="M36" s="27">
        <f t="shared" ref="M36:O39" si="20">E36*(1+$B$5)^($B$4-$B$3)</f>
        <v>212.25395352416817</v>
      </c>
      <c r="N36" s="27">
        <f t="shared" si="20"/>
        <v>410.05669117488429</v>
      </c>
      <c r="O36" s="27">
        <f t="shared" si="20"/>
        <v>116.82087650843856</v>
      </c>
      <c r="P36" s="29">
        <f>M36+N36+O36</f>
        <v>739.13152120749101</v>
      </c>
      <c r="Q36" s="27">
        <f t="shared" ref="Q36:S39" si="21">I36*(1+$B$5)^($B$4-$B$3)</f>
        <v>268.54488011694781</v>
      </c>
      <c r="R36" s="27">
        <f t="shared" si="21"/>
        <v>311.43058360425869</v>
      </c>
      <c r="S36" s="27">
        <f t="shared" si="21"/>
        <v>63.778032721501447</v>
      </c>
      <c r="T36" s="29">
        <f>Q36+R36+S36</f>
        <v>643.75349644270796</v>
      </c>
      <c r="U36" s="68" t="str">
        <f>D36</f>
        <v>(台15)濱海路廣興段</v>
      </c>
      <c r="V36" s="27">
        <f>IF($P36&gt;$T36,M36,Q36)</f>
        <v>212.25395352416817</v>
      </c>
      <c r="W36" s="27">
        <f t="shared" ref="W36:X39" si="22">IF($P36&gt;$T36,N36,R36)</f>
        <v>410.05669117488429</v>
      </c>
      <c r="X36" s="27">
        <f t="shared" si="22"/>
        <v>116.82087650843856</v>
      </c>
      <c r="AB36" s="33">
        <f>X39</f>
        <v>62.016360691213954</v>
      </c>
      <c r="AC36" s="33">
        <f>W39</f>
        <v>294.72222544200082</v>
      </c>
      <c r="AD36" s="33">
        <f>V39</f>
        <v>95.680812144988778</v>
      </c>
      <c r="AI36" s="33">
        <f>Z96</f>
        <v>1039.551654622453</v>
      </c>
      <c r="AJ36" s="41" t="str">
        <f>AA96</f>
        <v>↘台66(東入)</v>
      </c>
      <c r="AM36" s="52">
        <f t="shared" si="19"/>
        <v>5.0648070870765061</v>
      </c>
      <c r="AN36" s="82" t="str">
        <f t="shared" si="19"/>
        <v>↘中山東路二段130巷</v>
      </c>
    </row>
    <row r="37" spans="4:44">
      <c r="D37" s="36" t="s">
        <v>85</v>
      </c>
      <c r="E37" s="35">
        <v>36.520000000000003</v>
      </c>
      <c r="F37" s="35">
        <v>303.8</v>
      </c>
      <c r="G37" s="35">
        <v>314.41999999999996</v>
      </c>
      <c r="H37" s="35"/>
      <c r="I37" s="35">
        <v>12.1</v>
      </c>
      <c r="J37" s="35">
        <v>123.47999999999999</v>
      </c>
      <c r="K37" s="35">
        <v>127.04</v>
      </c>
      <c r="M37" s="27">
        <f t="shared" si="20"/>
        <v>50.262705114139685</v>
      </c>
      <c r="N37" s="27">
        <f t="shared" si="20"/>
        <v>418.1218459385442</v>
      </c>
      <c r="O37" s="27">
        <f t="shared" si="20"/>
        <v>432.73821856483556</v>
      </c>
      <c r="P37" s="29">
        <f>M37+N37+O37</f>
        <v>901.12276961751945</v>
      </c>
      <c r="Q37" s="27">
        <f t="shared" si="21"/>
        <v>16.653305911311339</v>
      </c>
      <c r="R37" s="27">
        <f t="shared" si="21"/>
        <v>169.94629867179538</v>
      </c>
      <c r="S37" s="27">
        <f t="shared" si="21"/>
        <v>174.84594900603244</v>
      </c>
      <c r="T37" s="29">
        <f>Q37+R37+S37</f>
        <v>361.44555358913919</v>
      </c>
      <c r="U37" s="68" t="str">
        <f>D37</f>
        <v>(市道115)文化路</v>
      </c>
      <c r="V37" s="27">
        <f>IF($P37&gt;$T37,M37,Q37)</f>
        <v>50.262705114139685</v>
      </c>
      <c r="W37" s="27">
        <f t="shared" si="22"/>
        <v>418.1218459385442</v>
      </c>
      <c r="X37" s="27">
        <f t="shared" si="22"/>
        <v>432.73821856483556</v>
      </c>
      <c r="AA37" s="34"/>
      <c r="AB37" s="7" t="s">
        <v>16</v>
      </c>
      <c r="AC37" s="7" t="s">
        <v>38</v>
      </c>
      <c r="AD37" s="6" t="s">
        <v>15</v>
      </c>
      <c r="AE37" s="21"/>
    </row>
    <row r="38" spans="4:44">
      <c r="D38" s="36" t="s">
        <v>86</v>
      </c>
      <c r="E38" s="35">
        <v>6.6</v>
      </c>
      <c r="F38" s="35">
        <v>246.32</v>
      </c>
      <c r="G38" s="35">
        <v>13.32</v>
      </c>
      <c r="H38" s="35"/>
      <c r="I38" s="35">
        <v>14.4</v>
      </c>
      <c r="J38" s="35">
        <v>270.8</v>
      </c>
      <c r="K38" s="35">
        <v>36.24</v>
      </c>
      <c r="M38" s="27">
        <f t="shared" si="20"/>
        <v>9.0836214061698204</v>
      </c>
      <c r="N38" s="27">
        <f t="shared" si="20"/>
        <v>339.01176132844699</v>
      </c>
      <c r="O38" s="27">
        <f t="shared" si="20"/>
        <v>18.332399565179095</v>
      </c>
      <c r="P38" s="29">
        <f>M38+N38+O38</f>
        <v>366.42778229979592</v>
      </c>
      <c r="Q38" s="27">
        <f t="shared" si="21"/>
        <v>19.818810340734156</v>
      </c>
      <c r="R38" s="27">
        <f t="shared" si="21"/>
        <v>372.70373890769508</v>
      </c>
      <c r="S38" s="27">
        <f t="shared" si="21"/>
        <v>49.877339357514295</v>
      </c>
      <c r="T38" s="29">
        <f>Q38+R38+S38</f>
        <v>442.39988860594354</v>
      </c>
      <c r="U38" s="68" t="str">
        <f>D38</f>
        <v>濱海路武威段</v>
      </c>
      <c r="V38" s="27">
        <f>IF($P38&gt;$T38,M38,Q38)</f>
        <v>19.818810340734156</v>
      </c>
      <c r="W38" s="27">
        <f t="shared" si="22"/>
        <v>372.70373890769508</v>
      </c>
      <c r="X38" s="27">
        <f t="shared" si="22"/>
        <v>49.877339357514295</v>
      </c>
      <c r="Z38" s="33">
        <f>V38</f>
        <v>19.818810340734156</v>
      </c>
      <c r="AA38" s="34" t="s">
        <v>14</v>
      </c>
      <c r="AB38" s="71"/>
      <c r="AC38" s="72" t="str">
        <f>U39</f>
        <v>文化路</v>
      </c>
      <c r="AD38" s="73"/>
      <c r="AE38" s="22" t="s">
        <v>17</v>
      </c>
      <c r="AF38" s="33">
        <f>X36</f>
        <v>116.82087650843856</v>
      </c>
      <c r="AJ38" s="80" t="str">
        <f t="shared" ref="AJ38:AM39" si="23">AC212</f>
        <v>↖市道114西</v>
      </c>
      <c r="AK38" s="80" t="str">
        <f t="shared" si="23"/>
        <v>↑台66北</v>
      </c>
      <c r="AL38" s="80" t="str">
        <f t="shared" si="23"/>
        <v>↗市道114東</v>
      </c>
      <c r="AM38" s="80" t="str">
        <f t="shared" si="23"/>
        <v>⬎中山東路二段130巷</v>
      </c>
      <c r="AN38" s="81"/>
      <c r="AO38" s="80" t="str">
        <f t="shared" ref="AO38:AQ39" si="24">AI212</f>
        <v>↖市道114西</v>
      </c>
      <c r="AP38" s="80" t="str">
        <f t="shared" si="24"/>
        <v>↑台66北</v>
      </c>
      <c r="AQ38" s="80" t="str">
        <f t="shared" si="24"/>
        <v>↗市道114東</v>
      </c>
    </row>
    <row r="39" spans="4:44">
      <c r="D39" s="36" t="s">
        <v>87</v>
      </c>
      <c r="E39" s="35">
        <v>31.66</v>
      </c>
      <c r="F39" s="35">
        <v>123.78</v>
      </c>
      <c r="G39" s="35">
        <v>17.62</v>
      </c>
      <c r="H39" s="35"/>
      <c r="I39" s="35">
        <v>69.52</v>
      </c>
      <c r="J39" s="35">
        <v>214.14</v>
      </c>
      <c r="K39" s="35">
        <v>45.059999999999995</v>
      </c>
      <c r="M39" s="27">
        <f t="shared" si="20"/>
        <v>43.573856624141904</v>
      </c>
      <c r="N39" s="27">
        <f t="shared" si="20"/>
        <v>170.35919055389402</v>
      </c>
      <c r="O39" s="27">
        <f t="shared" si="20"/>
        <v>24.2505165419261</v>
      </c>
      <c r="P39" s="29">
        <f>M39+N39+O39</f>
        <v>238.18356371996202</v>
      </c>
      <c r="Q39" s="27">
        <f t="shared" si="21"/>
        <v>95.680812144988778</v>
      </c>
      <c r="R39" s="27">
        <f t="shared" si="21"/>
        <v>294.72222544200082</v>
      </c>
      <c r="S39" s="27">
        <f t="shared" si="21"/>
        <v>62.016360691213954</v>
      </c>
      <c r="T39" s="29">
        <f>Q39+R39+S39</f>
        <v>452.41939827820357</v>
      </c>
      <c r="U39" s="68" t="str">
        <f>D39</f>
        <v>文化路</v>
      </c>
      <c r="V39" s="27">
        <f>IF($P39&gt;$T39,M39,Q39)</f>
        <v>95.680812144988778</v>
      </c>
      <c r="W39" s="27">
        <f t="shared" si="22"/>
        <v>294.72222544200082</v>
      </c>
      <c r="X39" s="27">
        <f t="shared" si="22"/>
        <v>62.016360691213954</v>
      </c>
      <c r="Z39" s="33">
        <f>W38</f>
        <v>372.70373890769508</v>
      </c>
      <c r="AA39" s="34" t="s">
        <v>52</v>
      </c>
      <c r="AB39" s="74" t="str">
        <f>U38</f>
        <v>濱海路武威段</v>
      </c>
      <c r="AC39" s="74"/>
      <c r="AD39" s="73" t="str">
        <f>U36</f>
        <v>(台15)濱海路廣興段</v>
      </c>
      <c r="AE39" s="22" t="s">
        <v>53</v>
      </c>
      <c r="AF39" s="33">
        <f>W36</f>
        <v>410.05669117488429</v>
      </c>
      <c r="AJ39" s="33">
        <f t="shared" si="23"/>
        <v>1212.3056180925189</v>
      </c>
      <c r="AK39" s="33">
        <f t="shared" si="23"/>
        <v>538.3009097547183</v>
      </c>
      <c r="AL39" s="33">
        <f t="shared" si="23"/>
        <v>107.21425871827712</v>
      </c>
      <c r="AM39" s="33">
        <f t="shared" si="23"/>
        <v>30.471420898878765</v>
      </c>
      <c r="AO39" s="77">
        <f t="shared" si="24"/>
        <v>1.9543549086001735</v>
      </c>
      <c r="AP39" s="77">
        <f t="shared" si="24"/>
        <v>3.9087098172003469</v>
      </c>
      <c r="AQ39" s="77">
        <f t="shared" si="24"/>
        <v>77.678726085488591</v>
      </c>
    </row>
    <row r="40" spans="4:44">
      <c r="U40" s="68"/>
      <c r="Z40" s="33">
        <f>X38</f>
        <v>49.877339357514295</v>
      </c>
      <c r="AA40" s="34" t="s">
        <v>15</v>
      </c>
      <c r="AB40" s="74"/>
      <c r="AC40" s="74" t="str">
        <f>U37</f>
        <v>(市道115)文化路</v>
      </c>
      <c r="AD40" s="73"/>
      <c r="AE40" s="22" t="s">
        <v>16</v>
      </c>
      <c r="AF40" s="33">
        <f>V36</f>
        <v>212.25395352416817</v>
      </c>
      <c r="AI40" s="183" t="s">
        <v>191</v>
      </c>
      <c r="AJ40" s="183"/>
      <c r="AK40" s="183"/>
      <c r="AL40" s="183"/>
      <c r="AM40" s="183"/>
      <c r="AN40" s="183"/>
      <c r="AO40" s="183"/>
      <c r="AP40" s="183"/>
      <c r="AQ40" s="183"/>
      <c r="AR40" s="183"/>
    </row>
    <row r="41" spans="4:44" ht="16.5" customHeight="1">
      <c r="U41" s="68"/>
      <c r="AA41" s="34"/>
      <c r="AB41" s="8" t="s">
        <v>17</v>
      </c>
      <c r="AC41" s="8" t="s">
        <v>39</v>
      </c>
      <c r="AD41" s="6" t="s">
        <v>14</v>
      </c>
      <c r="AE41" s="21"/>
      <c r="AN41" s="77">
        <f>AF150</f>
        <v>158.1375908437746</v>
      </c>
      <c r="AO41" s="77">
        <f>AF151</f>
        <v>215.6396669573769</v>
      </c>
    </row>
    <row r="42" spans="4:44">
      <c r="U42" s="68"/>
      <c r="AB42" s="33">
        <f>V37</f>
        <v>50.262705114139685</v>
      </c>
      <c r="AC42" s="33">
        <f>W37</f>
        <v>418.1218459385442</v>
      </c>
      <c r="AD42" s="33">
        <f>X37</f>
        <v>432.73821856483556</v>
      </c>
      <c r="AN42" s="42" t="s">
        <v>203</v>
      </c>
      <c r="AO42" s="42" t="s">
        <v>197</v>
      </c>
    </row>
    <row r="43" spans="4:44" ht="16.5" customHeight="1">
      <c r="E43" s="184" t="s">
        <v>58</v>
      </c>
      <c r="F43" s="185"/>
      <c r="G43" s="185"/>
      <c r="H43" s="185"/>
      <c r="I43" s="185"/>
      <c r="J43" s="185"/>
      <c r="K43" s="185"/>
      <c r="M43" s="182" t="str">
        <f>E43</f>
        <v>台15/桃35</v>
      </c>
      <c r="N43" s="183"/>
      <c r="O43" s="183"/>
      <c r="P43" s="183"/>
      <c r="Q43" s="183"/>
      <c r="R43" s="183"/>
      <c r="S43" s="183"/>
      <c r="T43" s="183"/>
      <c r="U43" s="68"/>
      <c r="V43" s="182" t="str">
        <f>M43</f>
        <v>台15/桃35</v>
      </c>
      <c r="W43" s="183"/>
      <c r="X43" s="183"/>
      <c r="Z43" s="17"/>
      <c r="AA43" s="182" t="str">
        <f>V43</f>
        <v>台15/桃35</v>
      </c>
      <c r="AB43" s="183"/>
      <c r="AC43" s="183"/>
      <c r="AD43" s="183"/>
      <c r="AE43" s="183"/>
      <c r="AQ43" s="42" t="s">
        <v>201</v>
      </c>
      <c r="AR43" s="77">
        <f>AD154</f>
        <v>99.727152589555345</v>
      </c>
    </row>
    <row r="44" spans="4:44">
      <c r="D44" s="36" t="s">
        <v>88</v>
      </c>
      <c r="E44" s="35">
        <v>127.34</v>
      </c>
      <c r="F44" s="35">
        <v>470.78</v>
      </c>
      <c r="G44" s="35">
        <v>11.98</v>
      </c>
      <c r="H44" s="35"/>
      <c r="I44" s="35">
        <v>237.72</v>
      </c>
      <c r="J44" s="35">
        <v>607.52</v>
      </c>
      <c r="K44" s="35">
        <v>18.759999999999998</v>
      </c>
      <c r="M44" s="27">
        <f t="shared" ref="M44:O47" si="25">E44*(1+$B$5)^($B$4-$B$3)</f>
        <v>175.25884088813106</v>
      </c>
      <c r="N44" s="27">
        <f t="shared" si="25"/>
        <v>647.93746751464062</v>
      </c>
      <c r="O44" s="27">
        <f t="shared" si="25"/>
        <v>16.488149158471888</v>
      </c>
      <c r="P44" s="29">
        <f>M44+N44+O44</f>
        <v>839.68445756124356</v>
      </c>
      <c r="Q44" s="27">
        <f t="shared" ref="Q44:S47" si="26">I44*(1+$B$5)^($B$4-$B$3)</f>
        <v>327.17552737495299</v>
      </c>
      <c r="R44" s="27">
        <f t="shared" si="26"/>
        <v>836.13358737519536</v>
      </c>
      <c r="S44" s="27">
        <f t="shared" si="26"/>
        <v>25.819505693900883</v>
      </c>
      <c r="T44" s="29">
        <f>Q44+R44+S44</f>
        <v>1189.1286204440494</v>
      </c>
      <c r="U44" s="68" t="str">
        <f>D44</f>
        <v>(台15)大觀路二段</v>
      </c>
      <c r="V44" s="27">
        <f>IF($P44&gt;$T44,M44,Q44)</f>
        <v>327.17552737495299</v>
      </c>
      <c r="W44" s="27">
        <f t="shared" ref="W44:X47" si="27">IF($P44&gt;$T44,N44,R44)</f>
        <v>836.13358737519536</v>
      </c>
      <c r="X44" s="27">
        <f t="shared" si="27"/>
        <v>25.819505693900883</v>
      </c>
      <c r="AB44" s="33">
        <f>X47</f>
        <v>16.488149158471888</v>
      </c>
      <c r="AC44" s="33">
        <f>W47</f>
        <v>111.28812528831693</v>
      </c>
      <c r="AD44" s="33">
        <f>V47</f>
        <v>12.441808713905329</v>
      </c>
      <c r="AQ44" s="42" t="s">
        <v>200</v>
      </c>
      <c r="AR44" s="77">
        <f>AC154</f>
        <v>164.16581232241458</v>
      </c>
    </row>
    <row r="45" spans="4:44">
      <c r="D45" s="36" t="s">
        <v>89</v>
      </c>
      <c r="E45" s="35">
        <v>145.6</v>
      </c>
      <c r="F45" s="35">
        <v>98.259999999999991</v>
      </c>
      <c r="G45" s="35">
        <v>329.32</v>
      </c>
      <c r="H45" s="35"/>
      <c r="I45" s="35">
        <v>94.88</v>
      </c>
      <c r="J45" s="35">
        <v>35.6</v>
      </c>
      <c r="K45" s="35">
        <v>170.45999999999998</v>
      </c>
      <c r="M45" s="27">
        <f t="shared" si="25"/>
        <v>200.39019344520091</v>
      </c>
      <c r="N45" s="27">
        <f t="shared" si="25"/>
        <v>135.23585445003735</v>
      </c>
      <c r="O45" s="27">
        <f t="shared" si="25"/>
        <v>453.24518204240081</v>
      </c>
      <c r="P45" s="29">
        <f>M45+N45+O45</f>
        <v>788.8712299376391</v>
      </c>
      <c r="Q45" s="27">
        <f t="shared" si="26"/>
        <v>130.5839392450595</v>
      </c>
      <c r="R45" s="27">
        <f t="shared" si="26"/>
        <v>48.996503342370552</v>
      </c>
      <c r="S45" s="27">
        <f t="shared" si="26"/>
        <v>234.60516740844054</v>
      </c>
      <c r="T45" s="29">
        <f>Q45+R45+S45</f>
        <v>414.18560999587055</v>
      </c>
      <c r="U45" s="68" t="str">
        <f>D45</f>
        <v>(桃35)新生路</v>
      </c>
      <c r="V45" s="27">
        <f>IF($P45&gt;$T45,M45,Q45)</f>
        <v>200.39019344520091</v>
      </c>
      <c r="W45" s="27">
        <f t="shared" si="27"/>
        <v>135.23585445003735</v>
      </c>
      <c r="X45" s="27">
        <f t="shared" si="27"/>
        <v>453.24518204240081</v>
      </c>
      <c r="AA45" s="34"/>
      <c r="AB45" s="7" t="s">
        <v>16</v>
      </c>
      <c r="AC45" s="7" t="s">
        <v>38</v>
      </c>
      <c r="AD45" s="6" t="s">
        <v>15</v>
      </c>
      <c r="AE45" s="21"/>
      <c r="AK45" s="42" t="s">
        <v>202</v>
      </c>
      <c r="AL45" s="42" t="s">
        <v>195</v>
      </c>
      <c r="AQ45" s="42" t="s">
        <v>199</v>
      </c>
      <c r="AR45" s="77">
        <f>AB154</f>
        <v>38.536575662538638</v>
      </c>
    </row>
    <row r="46" spans="4:44">
      <c r="D46" s="36" t="s">
        <v>90</v>
      </c>
      <c r="E46" s="35">
        <v>5.52</v>
      </c>
      <c r="F46" s="35">
        <v>570.08000000000004</v>
      </c>
      <c r="G46" s="35">
        <v>90.82</v>
      </c>
      <c r="H46" s="35"/>
      <c r="I46" s="35">
        <v>8.3000000000000007</v>
      </c>
      <c r="J46" s="35">
        <v>530.36</v>
      </c>
      <c r="K46" s="35">
        <v>89.6</v>
      </c>
      <c r="M46" s="27">
        <f t="shared" si="25"/>
        <v>7.5972106306147591</v>
      </c>
      <c r="N46" s="27">
        <f t="shared" si="25"/>
        <v>784.60468048928669</v>
      </c>
      <c r="O46" s="27">
        <f t="shared" si="25"/>
        <v>124.99613577399138</v>
      </c>
      <c r="P46" s="29">
        <f>M46+N46+O46</f>
        <v>917.1980268938928</v>
      </c>
      <c r="Q46" s="27">
        <f t="shared" si="26"/>
        <v>11.423342071395382</v>
      </c>
      <c r="R46" s="27">
        <f t="shared" si="26"/>
        <v>729.93779529942822</v>
      </c>
      <c r="S46" s="27">
        <f t="shared" si="26"/>
        <v>123.31704212012363</v>
      </c>
      <c r="T46" s="29">
        <f>Q46+R46+S46</f>
        <v>864.67817949094729</v>
      </c>
      <c r="U46" s="68" t="str">
        <f>D46</f>
        <v>大觀路二段</v>
      </c>
      <c r="V46" s="27">
        <f>IF($P46&gt;$T46,M46,Q46)</f>
        <v>7.5972106306147591</v>
      </c>
      <c r="W46" s="27">
        <f t="shared" si="27"/>
        <v>784.60468048928669</v>
      </c>
      <c r="X46" s="27">
        <f t="shared" si="27"/>
        <v>124.99613577399138</v>
      </c>
      <c r="Z46" s="33">
        <f>V46</f>
        <v>7.5972106306147591</v>
      </c>
      <c r="AA46" s="34" t="s">
        <v>14</v>
      </c>
      <c r="AB46" s="71"/>
      <c r="AC46" s="72" t="str">
        <f>U47</f>
        <v>大觀路二段100巷</v>
      </c>
      <c r="AD46" s="73"/>
      <c r="AE46" s="22" t="s">
        <v>17</v>
      </c>
      <c r="AF46" s="33">
        <f>X44</f>
        <v>25.819505693900883</v>
      </c>
      <c r="AK46" s="88">
        <f>Z150</f>
        <v>73.522281139029076</v>
      </c>
      <c r="AL46" s="88">
        <f>Z151</f>
        <v>277.71107989953731</v>
      </c>
      <c r="AO46" s="89">
        <f>AF143</f>
        <v>146.74177489785248</v>
      </c>
      <c r="AP46" s="90">
        <f>AF144</f>
        <v>116.46303687728641</v>
      </c>
    </row>
    <row r="47" spans="4:44">
      <c r="D47" s="36" t="s">
        <v>91</v>
      </c>
      <c r="E47" s="35">
        <v>15.24</v>
      </c>
      <c r="F47" s="35">
        <v>58.08</v>
      </c>
      <c r="G47" s="35">
        <v>11.879999999999999</v>
      </c>
      <c r="H47" s="35"/>
      <c r="I47" s="35">
        <v>9.0399999999999991</v>
      </c>
      <c r="J47" s="35">
        <v>80.86</v>
      </c>
      <c r="K47" s="35">
        <v>11.98</v>
      </c>
      <c r="M47" s="27">
        <f t="shared" si="25"/>
        <v>20.974907610610316</v>
      </c>
      <c r="N47" s="27">
        <f t="shared" si="25"/>
        <v>79.935868374294429</v>
      </c>
      <c r="O47" s="27">
        <f t="shared" si="25"/>
        <v>16.350518531105678</v>
      </c>
      <c r="P47" s="29">
        <f>M47+N47+O47</f>
        <v>117.26129451601042</v>
      </c>
      <c r="Q47" s="27">
        <f t="shared" si="26"/>
        <v>12.441808713905329</v>
      </c>
      <c r="R47" s="27">
        <f t="shared" si="26"/>
        <v>111.28812528831693</v>
      </c>
      <c r="S47" s="27">
        <f t="shared" si="26"/>
        <v>16.488149158471888</v>
      </c>
      <c r="T47" s="29">
        <f>Q47+R47+S47</f>
        <v>140.21808316069416</v>
      </c>
      <c r="U47" s="68" t="str">
        <f>D47</f>
        <v>大觀路二段100巷</v>
      </c>
      <c r="V47" s="27">
        <f>IF($P47&gt;$T47,M47,Q47)</f>
        <v>12.441808713905329</v>
      </c>
      <c r="W47" s="27">
        <f t="shared" si="27"/>
        <v>111.28812528831693</v>
      </c>
      <c r="X47" s="27">
        <f t="shared" si="27"/>
        <v>16.488149158471888</v>
      </c>
      <c r="Z47" s="33">
        <f>W46</f>
        <v>784.60468048928669</v>
      </c>
      <c r="AA47" s="34" t="s">
        <v>52</v>
      </c>
      <c r="AB47" s="74" t="str">
        <f>U46</f>
        <v>大觀路二段</v>
      </c>
      <c r="AC47" s="74"/>
      <c r="AD47" s="73" t="str">
        <f>U44</f>
        <v>(台15)大觀路二段</v>
      </c>
      <c r="AE47" s="22" t="s">
        <v>53</v>
      </c>
      <c r="AF47" s="33">
        <f>W44</f>
        <v>836.13358737519536</v>
      </c>
      <c r="AI47" s="52">
        <f>AD140</f>
        <v>129.64805097896928</v>
      </c>
      <c r="AJ47" s="82" t="s">
        <v>192</v>
      </c>
      <c r="AO47" s="82" t="s">
        <v>197</v>
      </c>
      <c r="AP47" s="82" t="s">
        <v>198</v>
      </c>
    </row>
    <row r="48" spans="4:44">
      <c r="U48" s="68"/>
      <c r="Z48" s="33">
        <f>X46</f>
        <v>124.99613577399138</v>
      </c>
      <c r="AA48" s="34" t="s">
        <v>15</v>
      </c>
      <c r="AB48" s="74"/>
      <c r="AC48" s="74" t="str">
        <f>U45</f>
        <v>(桃35)新生路</v>
      </c>
      <c r="AD48" s="73"/>
      <c r="AE48" s="22" t="s">
        <v>16</v>
      </c>
      <c r="AF48" s="33">
        <f>V44</f>
        <v>327.17552737495299</v>
      </c>
      <c r="AI48" s="52">
        <f>AC140</f>
        <v>166.89089874426554</v>
      </c>
      <c r="AJ48" s="82" t="s">
        <v>193</v>
      </c>
      <c r="AL48" s="72"/>
      <c r="AO48" s="82"/>
      <c r="AP48" s="82"/>
    </row>
    <row r="49" spans="4:39">
      <c r="U49" s="68"/>
      <c r="AA49" s="34"/>
      <c r="AB49" s="8" t="s">
        <v>17</v>
      </c>
      <c r="AC49" s="8" t="s">
        <v>39</v>
      </c>
      <c r="AD49" s="6" t="s">
        <v>14</v>
      </c>
      <c r="AE49" s="21"/>
      <c r="AI49" s="52">
        <f>AB140</f>
        <v>77.486043207175896</v>
      </c>
      <c r="AJ49" s="82" t="s">
        <v>194</v>
      </c>
    </row>
    <row r="50" spans="4:39">
      <c r="U50" s="68"/>
      <c r="AB50" s="33">
        <f>V45</f>
        <v>200.39019344520091</v>
      </c>
      <c r="AC50" s="33">
        <f>W45</f>
        <v>135.23585445003735</v>
      </c>
      <c r="AD50" s="33">
        <f>X45</f>
        <v>453.24518204240081</v>
      </c>
      <c r="AL50" s="82" t="s">
        <v>195</v>
      </c>
      <c r="AM50" s="82" t="s">
        <v>196</v>
      </c>
    </row>
    <row r="51" spans="4:39" ht="16.5" customHeight="1">
      <c r="E51" s="184" t="s">
        <v>59</v>
      </c>
      <c r="F51" s="185"/>
      <c r="G51" s="185"/>
      <c r="H51" s="185"/>
      <c r="I51" s="185"/>
      <c r="J51" s="185"/>
      <c r="K51" s="185"/>
      <c r="M51" s="182" t="str">
        <f>E51</f>
        <v>桃31/桃33</v>
      </c>
      <c r="N51" s="183"/>
      <c r="O51" s="183"/>
      <c r="P51" s="183"/>
      <c r="Q51" s="183"/>
      <c r="R51" s="183"/>
      <c r="S51" s="183"/>
      <c r="T51" s="183"/>
      <c r="U51" s="68"/>
      <c r="V51" s="182" t="str">
        <f>M51</f>
        <v>桃31/桃33</v>
      </c>
      <c r="W51" s="183"/>
      <c r="X51" s="183"/>
      <c r="Z51" s="17"/>
      <c r="AA51" s="182" t="str">
        <f>V51</f>
        <v>桃31/桃33</v>
      </c>
      <c r="AB51" s="183"/>
      <c r="AC51" s="183"/>
      <c r="AD51" s="183"/>
      <c r="AE51" s="183"/>
      <c r="AL51" s="88">
        <f>Z143</f>
        <v>231.65987198280371</v>
      </c>
      <c r="AM51" s="88">
        <f>Z144</f>
        <v>73.412176637136099</v>
      </c>
    </row>
    <row r="52" spans="4:39">
      <c r="D52" s="36" t="s">
        <v>92</v>
      </c>
      <c r="E52" s="35">
        <v>5.68</v>
      </c>
      <c r="F52" s="35">
        <v>69.72</v>
      </c>
      <c r="G52" s="35">
        <v>3.26</v>
      </c>
      <c r="H52" s="35"/>
      <c r="I52" s="35">
        <v>12.1</v>
      </c>
      <c r="J52" s="35">
        <v>104.82</v>
      </c>
      <c r="K52" s="35">
        <v>3.84</v>
      </c>
      <c r="M52" s="27">
        <f t="shared" ref="M52:O55" si="28">E52*(1+$B$5)^($B$4-$B$3)</f>
        <v>7.8174196344006939</v>
      </c>
      <c r="N52" s="27">
        <f t="shared" si="28"/>
        <v>95.956073399721205</v>
      </c>
      <c r="O52" s="27">
        <f t="shared" si="28"/>
        <v>4.4867584521384263</v>
      </c>
      <c r="P52" s="29">
        <f>M52+N52+O52</f>
        <v>108.26025148626033</v>
      </c>
      <c r="Q52" s="27">
        <f t="shared" ref="Q52:S55" si="29">I52*(1+$B$5)^($B$4-$B$3)</f>
        <v>16.653305911311339</v>
      </c>
      <c r="R52" s="27">
        <f t="shared" si="29"/>
        <v>144.2644236052607</v>
      </c>
      <c r="S52" s="27">
        <f t="shared" si="29"/>
        <v>5.2850160908624408</v>
      </c>
      <c r="T52" s="29">
        <f>Q52+R52+S52</f>
        <v>166.20274560743448</v>
      </c>
      <c r="U52" s="68" t="str">
        <f>D52</f>
        <v>(桃31)潮音二路</v>
      </c>
      <c r="V52" s="27">
        <f>IF($P52&gt;$T52,M52,Q52)</f>
        <v>16.653305911311339</v>
      </c>
      <c r="W52" s="27">
        <f t="shared" ref="W52:X55" si="30">IF($P52&gt;$T52,N52,R52)</f>
        <v>144.2644236052607</v>
      </c>
      <c r="X52" s="27">
        <f t="shared" si="30"/>
        <v>5.2850160908624408</v>
      </c>
      <c r="AB52" s="33">
        <f>X55</f>
        <v>6.0832737295864563</v>
      </c>
      <c r="AC52" s="33">
        <f>W55</f>
        <v>15.414630265015454</v>
      </c>
      <c r="AD52" s="33">
        <f>V55</f>
        <v>9.1937259080627882</v>
      </c>
    </row>
    <row r="53" spans="4:39">
      <c r="D53" s="36" t="s">
        <v>93</v>
      </c>
      <c r="E53" s="35">
        <v>31.240000000000002</v>
      </c>
      <c r="F53" s="35">
        <v>5.7799999999999994</v>
      </c>
      <c r="G53" s="35">
        <v>13.1</v>
      </c>
      <c r="H53" s="35"/>
      <c r="I53" s="35">
        <v>15.879999999999999</v>
      </c>
      <c r="J53" s="35">
        <v>9.36</v>
      </c>
      <c r="K53" s="35">
        <v>3.1</v>
      </c>
      <c r="M53" s="27">
        <f t="shared" si="28"/>
        <v>42.995807989203826</v>
      </c>
      <c r="N53" s="27">
        <f t="shared" si="28"/>
        <v>7.9550502617669032</v>
      </c>
      <c r="O53" s="27">
        <f t="shared" si="28"/>
        <v>18.029612184973434</v>
      </c>
      <c r="P53" s="29">
        <f>M53+N53+O53</f>
        <v>68.980470435944156</v>
      </c>
      <c r="Q53" s="27">
        <f t="shared" si="29"/>
        <v>21.855743625754052</v>
      </c>
      <c r="R53" s="27">
        <f t="shared" si="29"/>
        <v>12.882226721477201</v>
      </c>
      <c r="S53" s="27">
        <f t="shared" si="29"/>
        <v>4.2665494483524915</v>
      </c>
      <c r="T53" s="29">
        <f>Q53+R53+S53</f>
        <v>39.004519795583747</v>
      </c>
      <c r="U53" s="68" t="str">
        <f>D53</f>
        <v>(桃33)潮音一路</v>
      </c>
      <c r="V53" s="27">
        <f>IF($P53&gt;$T53,M53,Q53)</f>
        <v>42.995807989203826</v>
      </c>
      <c r="W53" s="27">
        <f t="shared" si="30"/>
        <v>7.9550502617669032</v>
      </c>
      <c r="X53" s="27">
        <f t="shared" si="30"/>
        <v>18.029612184973434</v>
      </c>
      <c r="AA53" s="34"/>
      <c r="AB53" s="7" t="s">
        <v>16</v>
      </c>
      <c r="AC53" s="7" t="s">
        <v>38</v>
      </c>
      <c r="AD53" s="6" t="s">
        <v>15</v>
      </c>
      <c r="AE53" s="21"/>
    </row>
    <row r="54" spans="4:39">
      <c r="D54" s="36" t="s">
        <v>94</v>
      </c>
      <c r="E54" s="35">
        <v>5</v>
      </c>
      <c r="F54" s="35">
        <v>184</v>
      </c>
      <c r="G54" s="35">
        <v>25.66</v>
      </c>
      <c r="H54" s="35"/>
      <c r="I54" s="35">
        <v>7.42</v>
      </c>
      <c r="J54" s="35">
        <v>55.86</v>
      </c>
      <c r="K54" s="35">
        <v>24.08</v>
      </c>
      <c r="M54" s="27">
        <f t="shared" si="28"/>
        <v>6.8815313683104709</v>
      </c>
      <c r="N54" s="27">
        <f t="shared" si="28"/>
        <v>253.24035435382532</v>
      </c>
      <c r="O54" s="27">
        <f t="shared" si="28"/>
        <v>35.316018982169332</v>
      </c>
      <c r="P54" s="29">
        <f>M54+N54+O54</f>
        <v>295.43790470430514</v>
      </c>
      <c r="Q54" s="27">
        <f t="shared" si="29"/>
        <v>10.212192550572738</v>
      </c>
      <c r="R54" s="27">
        <f t="shared" si="29"/>
        <v>76.880468446764581</v>
      </c>
      <c r="S54" s="27">
        <f t="shared" si="29"/>
        <v>33.141455069783227</v>
      </c>
      <c r="T54" s="29">
        <f>Q54+R54+S54</f>
        <v>120.23411606712054</v>
      </c>
      <c r="U54" s="68" t="str">
        <f>D54</f>
        <v>桃31</v>
      </c>
      <c r="V54" s="27">
        <f>IF($P54&gt;$T54,M54,Q54)</f>
        <v>6.8815313683104709</v>
      </c>
      <c r="W54" s="27">
        <f t="shared" si="30"/>
        <v>253.24035435382532</v>
      </c>
      <c r="X54" s="27">
        <f t="shared" si="30"/>
        <v>35.316018982169332</v>
      </c>
      <c r="Z54" s="33">
        <f>V54</f>
        <v>6.8815313683104709</v>
      </c>
      <c r="AA54" s="34" t="s">
        <v>14</v>
      </c>
      <c r="AB54" s="71"/>
      <c r="AC54" s="72" t="str">
        <f>U55</f>
        <v>(桃33)保障一路</v>
      </c>
      <c r="AD54" s="73"/>
      <c r="AE54" s="22" t="s">
        <v>17</v>
      </c>
      <c r="AF54" s="33">
        <f>X52</f>
        <v>5.2850160908624408</v>
      </c>
    </row>
    <row r="55" spans="4:39">
      <c r="D55" s="36" t="s">
        <v>95</v>
      </c>
      <c r="E55" s="35">
        <v>6.68</v>
      </c>
      <c r="F55" s="35">
        <v>11.2</v>
      </c>
      <c r="G55" s="35">
        <v>4.42</v>
      </c>
      <c r="H55" s="35"/>
      <c r="I55" s="35">
        <v>0.42</v>
      </c>
      <c r="J55" s="35">
        <v>5.68</v>
      </c>
      <c r="K55" s="35">
        <v>7.68</v>
      </c>
      <c r="M55" s="27">
        <f t="shared" si="28"/>
        <v>9.1937259080627882</v>
      </c>
      <c r="N55" s="27">
        <f t="shared" si="28"/>
        <v>15.414630265015454</v>
      </c>
      <c r="O55" s="27">
        <f t="shared" si="28"/>
        <v>6.0832737295864563</v>
      </c>
      <c r="P55" s="29">
        <f>M55+N55+O55</f>
        <v>30.691629902664697</v>
      </c>
      <c r="Q55" s="27">
        <f t="shared" si="29"/>
        <v>0.57804863493807956</v>
      </c>
      <c r="R55" s="27">
        <f t="shared" si="29"/>
        <v>7.8174196344006939</v>
      </c>
      <c r="S55" s="27">
        <f t="shared" si="29"/>
        <v>10.570032181724882</v>
      </c>
      <c r="T55" s="29">
        <f>Q55+R55+S55</f>
        <v>18.965500451063654</v>
      </c>
      <c r="U55" s="68" t="str">
        <f>D55</f>
        <v>(桃33)保障一路</v>
      </c>
      <c r="V55" s="27">
        <f>IF($P55&gt;$T55,M55,Q55)</f>
        <v>9.1937259080627882</v>
      </c>
      <c r="W55" s="27">
        <f t="shared" si="30"/>
        <v>15.414630265015454</v>
      </c>
      <c r="X55" s="27">
        <f t="shared" si="30"/>
        <v>6.0832737295864563</v>
      </c>
      <c r="Z55" s="33">
        <f>W54</f>
        <v>253.24035435382532</v>
      </c>
      <c r="AA55" s="34" t="s">
        <v>52</v>
      </c>
      <c r="AB55" s="74" t="str">
        <f>U54</f>
        <v>桃31</v>
      </c>
      <c r="AC55" s="74"/>
      <c r="AD55" s="73" t="str">
        <f>U52</f>
        <v>(桃31)潮音二路</v>
      </c>
      <c r="AE55" s="22" t="s">
        <v>53</v>
      </c>
      <c r="AF55" s="33">
        <f>W52</f>
        <v>144.2644236052607</v>
      </c>
    </row>
    <row r="56" spans="4:39">
      <c r="U56" s="68"/>
      <c r="Z56" s="33">
        <f>X54</f>
        <v>35.316018982169332</v>
      </c>
      <c r="AA56" s="34" t="s">
        <v>15</v>
      </c>
      <c r="AB56" s="74"/>
      <c r="AC56" s="74" t="str">
        <f>U53</f>
        <v>(桃33)潮音一路</v>
      </c>
      <c r="AD56" s="73"/>
      <c r="AE56" s="22" t="s">
        <v>16</v>
      </c>
      <c r="AF56" s="33">
        <f>V52</f>
        <v>16.653305911311339</v>
      </c>
    </row>
    <row r="57" spans="4:39">
      <c r="U57" s="68"/>
      <c r="AA57" s="34"/>
      <c r="AB57" s="8" t="s">
        <v>17</v>
      </c>
      <c r="AC57" s="8" t="s">
        <v>39</v>
      </c>
      <c r="AD57" s="6" t="s">
        <v>14</v>
      </c>
      <c r="AE57" s="21"/>
    </row>
    <row r="58" spans="4:39">
      <c r="U58" s="68"/>
      <c r="AB58" s="33">
        <f>V53</f>
        <v>42.995807989203826</v>
      </c>
      <c r="AC58" s="33">
        <f>W53</f>
        <v>7.9550502617669032</v>
      </c>
      <c r="AD58" s="33">
        <f>X53</f>
        <v>18.029612184973434</v>
      </c>
    </row>
    <row r="59" spans="4:39">
      <c r="E59" s="184" t="s">
        <v>60</v>
      </c>
      <c r="F59" s="185"/>
      <c r="G59" s="185"/>
      <c r="H59" s="185"/>
      <c r="I59" s="185"/>
      <c r="J59" s="185"/>
      <c r="K59" s="185"/>
      <c r="M59" s="182" t="str">
        <f>E59</f>
        <v>台66/市道115(南側)</v>
      </c>
      <c r="N59" s="183"/>
      <c r="O59" s="183"/>
      <c r="P59" s="183"/>
      <c r="Q59" s="183"/>
      <c r="R59" s="183"/>
      <c r="S59" s="183"/>
      <c r="T59" s="183"/>
      <c r="U59" s="68"/>
      <c r="V59" s="182" t="str">
        <f>M59</f>
        <v>台66/市道115(南側)</v>
      </c>
      <c r="W59" s="183"/>
      <c r="X59" s="183"/>
      <c r="Z59" s="17"/>
      <c r="AA59" s="182" t="str">
        <f>V59</f>
        <v>台66/市道115(南側)</v>
      </c>
      <c r="AB59" s="183"/>
      <c r="AC59" s="183"/>
      <c r="AD59" s="183"/>
      <c r="AE59" s="183"/>
    </row>
    <row r="60" spans="4:39">
      <c r="D60" s="36" t="s">
        <v>79</v>
      </c>
      <c r="E60" s="35">
        <v>0</v>
      </c>
      <c r="F60" s="35">
        <v>0</v>
      </c>
      <c r="G60" s="35">
        <v>0</v>
      </c>
      <c r="H60" s="35"/>
      <c r="I60" s="35">
        <v>0</v>
      </c>
      <c r="J60" s="35">
        <v>0</v>
      </c>
      <c r="K60" s="35">
        <v>0</v>
      </c>
      <c r="M60" s="27">
        <f t="shared" ref="M60:O63" si="31">E60*(1+$B$5)^($B$4-$B$3)</f>
        <v>0</v>
      </c>
      <c r="N60" s="27">
        <f t="shared" si="31"/>
        <v>0</v>
      </c>
      <c r="O60" s="27">
        <f t="shared" si="31"/>
        <v>0</v>
      </c>
      <c r="P60" s="29">
        <f>M60+N60+O60</f>
        <v>0</v>
      </c>
      <c r="Q60" s="27">
        <f t="shared" ref="Q60:S63" si="32">I60*(1+$B$5)^($B$4-$B$3)</f>
        <v>0</v>
      </c>
      <c r="R60" s="27">
        <f t="shared" si="32"/>
        <v>0</v>
      </c>
      <c r="S60" s="27">
        <f t="shared" si="32"/>
        <v>0</v>
      </c>
      <c r="T60" s="29">
        <f>Q60+R60+S60</f>
        <v>0</v>
      </c>
      <c r="U60" s="68" t="s">
        <v>177</v>
      </c>
      <c r="V60" s="27">
        <f>IF($P60&gt;$T60,M60,Q60)</f>
        <v>0</v>
      </c>
      <c r="W60" s="27">
        <f t="shared" ref="W60:X63" si="33">IF($P60&gt;$T60,N60,R60)</f>
        <v>0</v>
      </c>
      <c r="X60" s="27">
        <f t="shared" si="33"/>
        <v>0</v>
      </c>
      <c r="AB60" s="33">
        <f>X63</f>
        <v>0</v>
      </c>
      <c r="AC60" s="33">
        <f>W63</f>
        <v>542.81519433232984</v>
      </c>
      <c r="AD60" s="33">
        <f>V63</f>
        <v>403.23021205752036</v>
      </c>
    </row>
    <row r="61" spans="4:39">
      <c r="D61" s="36" t="s">
        <v>96</v>
      </c>
      <c r="E61" s="35">
        <v>0</v>
      </c>
      <c r="F61" s="35">
        <v>512.79999999999995</v>
      </c>
      <c r="G61" s="35">
        <v>0</v>
      </c>
      <c r="H61" s="35"/>
      <c r="I61" s="35">
        <v>0</v>
      </c>
      <c r="J61" s="35">
        <v>220.48</v>
      </c>
      <c r="K61" s="35">
        <v>1</v>
      </c>
      <c r="M61" s="27">
        <f t="shared" si="31"/>
        <v>0</v>
      </c>
      <c r="N61" s="27">
        <f t="shared" si="31"/>
        <v>705.76985713392185</v>
      </c>
      <c r="O61" s="27">
        <f t="shared" si="31"/>
        <v>0</v>
      </c>
      <c r="P61" s="29">
        <f>M61+N61+O61</f>
        <v>705.76985713392185</v>
      </c>
      <c r="Q61" s="27">
        <f t="shared" si="32"/>
        <v>0</v>
      </c>
      <c r="R61" s="27">
        <f t="shared" si="32"/>
        <v>303.44800721701847</v>
      </c>
      <c r="S61" s="27">
        <f t="shared" si="32"/>
        <v>1.3763062736620941</v>
      </c>
      <c r="T61" s="29">
        <f>Q61+R61+S61</f>
        <v>304.82431349068054</v>
      </c>
      <c r="U61" s="68" t="s">
        <v>180</v>
      </c>
      <c r="V61" s="27">
        <f>IF($P61&gt;$T61,M61,Q61)</f>
        <v>0</v>
      </c>
      <c r="W61" s="27">
        <f t="shared" si="33"/>
        <v>705.76985713392185</v>
      </c>
      <c r="X61" s="27">
        <f t="shared" si="33"/>
        <v>0</v>
      </c>
      <c r="AA61" s="34"/>
      <c r="AB61" s="42" t="str">
        <f>"↙"&amp;AB63</f>
        <v>↙台66西</v>
      </c>
      <c r="AC61" s="42" t="str">
        <f>"↓"&amp;AC64</f>
        <v>↓市道115南</v>
      </c>
      <c r="AD61" s="43" t="str">
        <f>"↘"&amp;AD63</f>
        <v>↘台66東</v>
      </c>
      <c r="AE61" s="21"/>
    </row>
    <row r="62" spans="4:39">
      <c r="D62" s="36" t="s">
        <v>79</v>
      </c>
      <c r="E62" s="35">
        <v>8.02</v>
      </c>
      <c r="F62" s="35">
        <v>55.760000000000005</v>
      </c>
      <c r="G62" s="35">
        <v>35.800000000000004</v>
      </c>
      <c r="H62" s="35"/>
      <c r="I62" s="35">
        <v>11.8</v>
      </c>
      <c r="J62" s="35">
        <v>75.14</v>
      </c>
      <c r="K62" s="35">
        <v>90.679999999999993</v>
      </c>
      <c r="M62" s="27">
        <f t="shared" si="31"/>
        <v>11.037976314769994</v>
      </c>
      <c r="N62" s="27">
        <f t="shared" si="31"/>
        <v>76.742837819398375</v>
      </c>
      <c r="O62" s="27">
        <f t="shared" si="31"/>
        <v>49.271764597102973</v>
      </c>
      <c r="P62" s="29">
        <f>M62+N62+O62</f>
        <v>137.05257873127135</v>
      </c>
      <c r="Q62" s="27">
        <f t="shared" si="32"/>
        <v>16.240414029212712</v>
      </c>
      <c r="R62" s="27">
        <f t="shared" si="32"/>
        <v>103.41565340296975</v>
      </c>
      <c r="S62" s="27">
        <f t="shared" si="32"/>
        <v>124.80345289567869</v>
      </c>
      <c r="T62" s="29">
        <f>Q62+R62+S62</f>
        <v>244.45952032786116</v>
      </c>
      <c r="U62" s="68" t="s">
        <v>178</v>
      </c>
      <c r="V62" s="27">
        <f>IF($P62&gt;$T62,M62,Q62)</f>
        <v>16.240414029212712</v>
      </c>
      <c r="W62" s="27">
        <f t="shared" si="33"/>
        <v>103.41565340296975</v>
      </c>
      <c r="X62" s="27">
        <f t="shared" si="33"/>
        <v>124.80345289567869</v>
      </c>
      <c r="Z62" s="33">
        <f>V62</f>
        <v>16.240414029212712</v>
      </c>
      <c r="AA62" s="41" t="str">
        <f>"↗"&amp;AC62</f>
        <v>↗市道115北</v>
      </c>
      <c r="AB62" s="71"/>
      <c r="AC62" s="72" t="str">
        <f>U63</f>
        <v>市道115北</v>
      </c>
      <c r="AD62" s="73"/>
      <c r="AE62" s="66" t="str">
        <f>"↖"&amp;AC62</f>
        <v>↖市道115北</v>
      </c>
      <c r="AF62" s="33">
        <f>X60</f>
        <v>0</v>
      </c>
    </row>
    <row r="63" spans="4:39">
      <c r="D63" s="36" t="s">
        <v>97</v>
      </c>
      <c r="E63" s="35">
        <v>213.36</v>
      </c>
      <c r="F63" s="35">
        <v>232.02</v>
      </c>
      <c r="G63" s="35">
        <v>0</v>
      </c>
      <c r="H63" s="35"/>
      <c r="I63" s="35">
        <v>292.98</v>
      </c>
      <c r="J63" s="35">
        <v>394.4</v>
      </c>
      <c r="K63" s="35">
        <v>0</v>
      </c>
      <c r="M63" s="27">
        <f t="shared" si="31"/>
        <v>293.6487065485444</v>
      </c>
      <c r="N63" s="27">
        <f t="shared" si="31"/>
        <v>319.3305816150791</v>
      </c>
      <c r="O63" s="27">
        <f t="shared" si="31"/>
        <v>0</v>
      </c>
      <c r="P63" s="29">
        <f>M63+N63+O63</f>
        <v>612.97928816362355</v>
      </c>
      <c r="Q63" s="27">
        <f t="shared" si="32"/>
        <v>403.23021205752036</v>
      </c>
      <c r="R63" s="27">
        <f t="shared" si="32"/>
        <v>542.81519433232984</v>
      </c>
      <c r="S63" s="27">
        <f t="shared" si="32"/>
        <v>0</v>
      </c>
      <c r="T63" s="29">
        <f>Q63+R63+S63</f>
        <v>946.0454063898502</v>
      </c>
      <c r="U63" s="68" t="s">
        <v>179</v>
      </c>
      <c r="V63" s="27">
        <f>IF($P63&gt;$T63,M63,Q63)</f>
        <v>403.23021205752036</v>
      </c>
      <c r="W63" s="27">
        <f t="shared" si="33"/>
        <v>542.81519433232984</v>
      </c>
      <c r="X63" s="27">
        <f t="shared" si="33"/>
        <v>0</v>
      </c>
      <c r="Z63" s="33">
        <f>W62</f>
        <v>103.41565340296975</v>
      </c>
      <c r="AA63" s="41" t="str">
        <f>"→"&amp;AD63</f>
        <v>→台66東</v>
      </c>
      <c r="AB63" s="74" t="str">
        <f>U62</f>
        <v>台66西</v>
      </c>
      <c r="AC63" s="74"/>
      <c r="AD63" s="73" t="str">
        <f>U60</f>
        <v>台66東</v>
      </c>
      <c r="AE63" s="66" t="str">
        <f>"←"&amp;AB63</f>
        <v>←台66西</v>
      </c>
      <c r="AF63" s="33">
        <f>W60</f>
        <v>0</v>
      </c>
    </row>
    <row r="64" spans="4:39" ht="16.5" customHeight="1">
      <c r="U64" s="68"/>
      <c r="Z64" s="33">
        <f>X62</f>
        <v>124.80345289567869</v>
      </c>
      <c r="AA64" s="41" t="str">
        <f>"↘"&amp;AC64</f>
        <v>↘市道115南</v>
      </c>
      <c r="AB64" s="74"/>
      <c r="AC64" s="74" t="str">
        <f>U61</f>
        <v>市道115南</v>
      </c>
      <c r="AD64" s="73"/>
      <c r="AE64" s="66" t="str">
        <f>"↙"&amp;AC64</f>
        <v>↙市道115南</v>
      </c>
      <c r="AF64" s="33">
        <f>V60</f>
        <v>0</v>
      </c>
    </row>
    <row r="65" spans="4:32">
      <c r="U65" s="68"/>
      <c r="AA65" s="34"/>
      <c r="AB65" s="47" t="str">
        <f>"↖"&amp;AB63</f>
        <v>↖台66西</v>
      </c>
      <c r="AC65" s="47" t="str">
        <f>"↑"&amp;AC62</f>
        <v>↑市道115北</v>
      </c>
      <c r="AD65" s="43" t="str">
        <f>"↗"&amp;AD63</f>
        <v>↗台66東</v>
      </c>
      <c r="AE65" s="21"/>
    </row>
    <row r="66" spans="4:32">
      <c r="U66" s="68"/>
      <c r="AB66" s="33">
        <f>V61</f>
        <v>0</v>
      </c>
      <c r="AC66" s="33">
        <f>W61</f>
        <v>705.76985713392185</v>
      </c>
      <c r="AD66" s="33">
        <f>X61</f>
        <v>0</v>
      </c>
    </row>
    <row r="67" spans="4:32">
      <c r="E67" s="184" t="s">
        <v>102</v>
      </c>
      <c r="F67" s="185"/>
      <c r="G67" s="185"/>
      <c r="H67" s="185"/>
      <c r="I67" s="185"/>
      <c r="J67" s="185"/>
      <c r="K67" s="185"/>
      <c r="M67" s="182" t="str">
        <f>E67</f>
        <v>市道112/桃84</v>
      </c>
      <c r="N67" s="183"/>
      <c r="O67" s="183"/>
      <c r="P67" s="183"/>
      <c r="Q67" s="183"/>
      <c r="R67" s="183"/>
      <c r="S67" s="183"/>
      <c r="T67" s="183"/>
      <c r="U67" s="68"/>
      <c r="V67" s="182" t="str">
        <f>M67</f>
        <v>市道112/桃84</v>
      </c>
      <c r="W67" s="183"/>
      <c r="X67" s="183"/>
      <c r="Z67" s="17"/>
      <c r="AA67" s="182" t="str">
        <f>V67</f>
        <v>市道112/桃84</v>
      </c>
      <c r="AB67" s="183"/>
      <c r="AC67" s="183"/>
      <c r="AD67" s="183"/>
      <c r="AE67" s="183"/>
    </row>
    <row r="68" spans="4:32">
      <c r="D68" s="36" t="s">
        <v>98</v>
      </c>
      <c r="E68" s="35">
        <v>25.36</v>
      </c>
      <c r="F68" s="35">
        <v>145.74</v>
      </c>
      <c r="G68" s="35">
        <v>86.399999999999991</v>
      </c>
      <c r="H68" s="35"/>
      <c r="I68" s="35">
        <v>43.34</v>
      </c>
      <c r="J68" s="35">
        <v>198.36</v>
      </c>
      <c r="K68" s="35">
        <v>50.24</v>
      </c>
      <c r="M68" s="27">
        <f t="shared" ref="M68:O71" si="34">E68*(1+$B$5)^($B$4-$B$3)</f>
        <v>34.903127100070705</v>
      </c>
      <c r="N68" s="27">
        <f t="shared" si="34"/>
        <v>200.5828763235136</v>
      </c>
      <c r="O68" s="27">
        <f t="shared" si="34"/>
        <v>118.91286204440492</v>
      </c>
      <c r="P68" s="29">
        <f>M68+N68+O68</f>
        <v>354.3988654679892</v>
      </c>
      <c r="Q68" s="27">
        <f t="shared" ref="Q68:S71" si="35">I68*(1+$B$5)^($B$4-$B$3)</f>
        <v>59.649113900515161</v>
      </c>
      <c r="R68" s="27">
        <f t="shared" si="35"/>
        <v>273.004112443613</v>
      </c>
      <c r="S68" s="27">
        <f t="shared" si="35"/>
        <v>69.145627188783607</v>
      </c>
      <c r="T68" s="29">
        <f>Q68+R68+S68</f>
        <v>401.79885353291172</v>
      </c>
      <c r="U68" s="68" t="str">
        <f>D68</f>
        <v>(桃84)新華路二段</v>
      </c>
      <c r="V68" s="27">
        <f>IF($P68&gt;$T68,M68,Q68)</f>
        <v>59.649113900515161</v>
      </c>
      <c r="W68" s="27">
        <f t="shared" ref="W68:X71" si="36">IF($P68&gt;$T68,N68,R68)</f>
        <v>273.004112443613</v>
      </c>
      <c r="X68" s="27">
        <f t="shared" si="36"/>
        <v>69.145627188783607</v>
      </c>
      <c r="AB68" s="33">
        <f>X71</f>
        <v>383.16366658752708</v>
      </c>
      <c r="AC68" s="33">
        <f>W71</f>
        <v>819.53533371483059</v>
      </c>
      <c r="AD68" s="33">
        <f>V71</f>
        <v>39.417411677682374</v>
      </c>
    </row>
    <row r="69" spans="4:32">
      <c r="D69" s="36" t="s">
        <v>99</v>
      </c>
      <c r="E69" s="35">
        <v>114.76</v>
      </c>
      <c r="F69" s="35">
        <v>686.48</v>
      </c>
      <c r="G69" s="35">
        <v>13.719999999999999</v>
      </c>
      <c r="H69" s="35"/>
      <c r="I69" s="35">
        <v>78.84</v>
      </c>
      <c r="J69" s="35">
        <v>291.36</v>
      </c>
      <c r="K69" s="35">
        <v>28.62</v>
      </c>
      <c r="M69" s="27">
        <f t="shared" si="34"/>
        <v>157.94490796546194</v>
      </c>
      <c r="N69" s="27">
        <f t="shared" si="34"/>
        <v>944.80673074355445</v>
      </c>
      <c r="O69" s="27">
        <f t="shared" si="34"/>
        <v>18.882922074643929</v>
      </c>
      <c r="P69" s="29">
        <f>M69+N69+O69</f>
        <v>1121.6345607836602</v>
      </c>
      <c r="Q69" s="27">
        <f t="shared" si="35"/>
        <v>108.5079866155195</v>
      </c>
      <c r="R69" s="27">
        <f t="shared" si="35"/>
        <v>401.00059589418777</v>
      </c>
      <c r="S69" s="27">
        <f t="shared" si="35"/>
        <v>39.389885552209137</v>
      </c>
      <c r="T69" s="29">
        <f>Q69+R69+S69</f>
        <v>548.89846806191645</v>
      </c>
      <c r="U69" s="68" t="str">
        <f>D69</f>
        <v>(市道112)環中路</v>
      </c>
      <c r="V69" s="27">
        <f>IF($P69&gt;$T69,M69,Q69)</f>
        <v>157.94490796546194</v>
      </c>
      <c r="W69" s="27">
        <f t="shared" si="36"/>
        <v>944.80673074355445</v>
      </c>
      <c r="X69" s="27">
        <f t="shared" si="36"/>
        <v>18.882922074643929</v>
      </c>
      <c r="AA69" s="34"/>
      <c r="AB69" s="7" t="s">
        <v>16</v>
      </c>
      <c r="AC69" s="7" t="s">
        <v>38</v>
      </c>
      <c r="AD69" s="6" t="s">
        <v>15</v>
      </c>
      <c r="AE69" s="21"/>
    </row>
    <row r="70" spans="4:32">
      <c r="D70" s="36" t="s">
        <v>100</v>
      </c>
      <c r="E70" s="35">
        <v>297.29999999999995</v>
      </c>
      <c r="F70" s="35">
        <v>193.34</v>
      </c>
      <c r="G70" s="35">
        <v>117.4</v>
      </c>
      <c r="H70" s="35"/>
      <c r="I70" s="35">
        <v>234.94</v>
      </c>
      <c r="J70" s="35">
        <v>181.24</v>
      </c>
      <c r="K70" s="35">
        <v>117.52000000000001</v>
      </c>
      <c r="M70" s="27">
        <f t="shared" si="34"/>
        <v>409.17585515974054</v>
      </c>
      <c r="N70" s="27">
        <f t="shared" si="34"/>
        <v>266.09505494982926</v>
      </c>
      <c r="O70" s="27">
        <f t="shared" si="34"/>
        <v>161.57835652792986</v>
      </c>
      <c r="P70" s="29">
        <f>M70+N70+O70</f>
        <v>836.84926663749957</v>
      </c>
      <c r="Q70" s="27">
        <f t="shared" si="35"/>
        <v>323.34939593417238</v>
      </c>
      <c r="R70" s="27">
        <f t="shared" si="35"/>
        <v>249.44174903851794</v>
      </c>
      <c r="S70" s="27">
        <f t="shared" si="35"/>
        <v>161.74351328076932</v>
      </c>
      <c r="T70" s="29">
        <f>Q70+R70+S70</f>
        <v>734.53465825345961</v>
      </c>
      <c r="U70" s="68" t="str">
        <f>D70</f>
        <v>新華街二段</v>
      </c>
      <c r="V70" s="27">
        <f>IF($P70&gt;$T70,M70,Q70)</f>
        <v>409.17585515974054</v>
      </c>
      <c r="W70" s="27">
        <f t="shared" si="36"/>
        <v>266.09505494982926</v>
      </c>
      <c r="X70" s="27">
        <f t="shared" si="36"/>
        <v>161.57835652792986</v>
      </c>
      <c r="Z70" s="33">
        <f>V70</f>
        <v>409.17585515974054</v>
      </c>
      <c r="AA70" s="34" t="s">
        <v>14</v>
      </c>
      <c r="AB70" s="71"/>
      <c r="AC70" s="72" t="str">
        <f>U71</f>
        <v>環中路</v>
      </c>
      <c r="AD70" s="73"/>
      <c r="AE70" s="22" t="s">
        <v>17</v>
      </c>
      <c r="AF70" s="33">
        <f>X68</f>
        <v>69.145627188783607</v>
      </c>
    </row>
    <row r="71" spans="4:32">
      <c r="D71" s="36" t="s">
        <v>101</v>
      </c>
      <c r="E71" s="35">
        <v>73.22</v>
      </c>
      <c r="F71" s="35">
        <v>373.82000000000005</v>
      </c>
      <c r="G71" s="35">
        <v>272.94</v>
      </c>
      <c r="H71" s="35"/>
      <c r="I71" s="35">
        <v>28.64</v>
      </c>
      <c r="J71" s="35">
        <v>595.46</v>
      </c>
      <c r="K71" s="35">
        <v>278.40000000000003</v>
      </c>
      <c r="M71" s="27">
        <f t="shared" si="34"/>
        <v>100.77314535753852</v>
      </c>
      <c r="N71" s="27">
        <f t="shared" si="34"/>
        <v>514.49081122036409</v>
      </c>
      <c r="O71" s="27">
        <f t="shared" si="34"/>
        <v>375.64903433333194</v>
      </c>
      <c r="P71" s="29">
        <f>M71+N71+O71</f>
        <v>990.9129909112346</v>
      </c>
      <c r="Q71" s="27">
        <f t="shared" si="35"/>
        <v>39.417411677682374</v>
      </c>
      <c r="R71" s="27">
        <f t="shared" si="35"/>
        <v>819.53533371483059</v>
      </c>
      <c r="S71" s="27">
        <f t="shared" si="35"/>
        <v>383.16366658752708</v>
      </c>
      <c r="T71" s="29">
        <f>Q71+R71+S71</f>
        <v>1242.1164119800401</v>
      </c>
      <c r="U71" s="68" t="str">
        <f>D71</f>
        <v>環中路</v>
      </c>
      <c r="V71" s="27">
        <f>IF($P71&gt;$T71,M71,Q71)</f>
        <v>39.417411677682374</v>
      </c>
      <c r="W71" s="27">
        <f t="shared" si="36"/>
        <v>819.53533371483059</v>
      </c>
      <c r="X71" s="27">
        <f t="shared" si="36"/>
        <v>383.16366658752708</v>
      </c>
      <c r="Z71" s="33">
        <f>W70</f>
        <v>266.09505494982926</v>
      </c>
      <c r="AA71" s="34" t="s">
        <v>52</v>
      </c>
      <c r="AB71" s="74" t="str">
        <f>U70</f>
        <v>新華街二段</v>
      </c>
      <c r="AC71" s="74"/>
      <c r="AD71" s="73" t="str">
        <f>U68</f>
        <v>(桃84)新華路二段</v>
      </c>
      <c r="AE71" s="22" t="s">
        <v>53</v>
      </c>
      <c r="AF71" s="33">
        <f>W68</f>
        <v>273.004112443613</v>
      </c>
    </row>
    <row r="72" spans="4:32">
      <c r="U72" s="68"/>
      <c r="Z72" s="33">
        <f>X70</f>
        <v>161.57835652792986</v>
      </c>
      <c r="AA72" s="34" t="s">
        <v>15</v>
      </c>
      <c r="AB72" s="74"/>
      <c r="AC72" s="74" t="str">
        <f>U69</f>
        <v>(市道112)環中路</v>
      </c>
      <c r="AD72" s="73"/>
      <c r="AE72" s="22" t="s">
        <v>16</v>
      </c>
      <c r="AF72" s="33">
        <f>V68</f>
        <v>59.649113900515161</v>
      </c>
    </row>
    <row r="73" spans="4:32">
      <c r="U73" s="68"/>
      <c r="AA73" s="34"/>
      <c r="AB73" s="8" t="s">
        <v>17</v>
      </c>
      <c r="AC73" s="8" t="s">
        <v>39</v>
      </c>
      <c r="AD73" s="6" t="s">
        <v>14</v>
      </c>
      <c r="AE73" s="21"/>
    </row>
    <row r="74" spans="4:32">
      <c r="U74" s="68"/>
      <c r="AB74" s="33">
        <f>V69</f>
        <v>157.94490796546194</v>
      </c>
      <c r="AC74" s="33">
        <f>W69</f>
        <v>944.80673074355445</v>
      </c>
      <c r="AD74" s="33">
        <f>X69</f>
        <v>18.882922074643929</v>
      </c>
    </row>
    <row r="75" spans="4:32">
      <c r="E75" s="184" t="s">
        <v>61</v>
      </c>
      <c r="F75" s="185"/>
      <c r="G75" s="185"/>
      <c r="H75" s="185"/>
      <c r="I75" s="185"/>
      <c r="J75" s="185"/>
      <c r="K75" s="185"/>
      <c r="M75" s="182" t="str">
        <f>E75</f>
        <v>台31/市道112</v>
      </c>
      <c r="N75" s="183"/>
      <c r="O75" s="183"/>
      <c r="P75" s="183"/>
      <c r="Q75" s="183"/>
      <c r="R75" s="183"/>
      <c r="S75" s="183"/>
      <c r="T75" s="183"/>
      <c r="U75" s="68"/>
      <c r="V75" s="182" t="str">
        <f>M75</f>
        <v>台31/市道112</v>
      </c>
      <c r="W75" s="183"/>
      <c r="X75" s="183"/>
      <c r="Z75" s="17"/>
      <c r="AA75" s="182" t="str">
        <f>V75</f>
        <v>台31/市道112</v>
      </c>
      <c r="AB75" s="183"/>
      <c r="AC75" s="183"/>
      <c r="AD75" s="183"/>
      <c r="AE75" s="183"/>
    </row>
    <row r="76" spans="4:32">
      <c r="D76" s="37" t="s">
        <v>103</v>
      </c>
      <c r="E76" s="35">
        <v>41.8</v>
      </c>
      <c r="F76" s="35">
        <v>1006.24</v>
      </c>
      <c r="G76" s="35">
        <v>330.88</v>
      </c>
      <c r="H76" s="35"/>
      <c r="I76" s="35">
        <v>57.2</v>
      </c>
      <c r="J76" s="35">
        <v>964.3599999999999</v>
      </c>
      <c r="K76" s="35">
        <v>309.88</v>
      </c>
      <c r="M76" s="27">
        <f t="shared" ref="M76:O79" si="37">E76*(1+$B$5)^($B$4-$B$3)</f>
        <v>57.52960223907553</v>
      </c>
      <c r="N76" s="27">
        <f t="shared" si="37"/>
        <v>1384.8944248097457</v>
      </c>
      <c r="O76" s="27">
        <f t="shared" si="37"/>
        <v>455.39221982931372</v>
      </c>
      <c r="P76" s="29">
        <f>M76+N76+O76</f>
        <v>1897.816246878135</v>
      </c>
      <c r="Q76" s="27">
        <f t="shared" ref="Q76:S79" si="38">I76*(1+$B$5)^($B$4-$B$3)</f>
        <v>78.724718853471785</v>
      </c>
      <c r="R76" s="27">
        <f t="shared" si="38"/>
        <v>1327.254718068777</v>
      </c>
      <c r="S76" s="27">
        <f t="shared" si="38"/>
        <v>426.48978808240975</v>
      </c>
      <c r="T76" s="29">
        <f>Q76+R76+S76</f>
        <v>1832.4692250046587</v>
      </c>
      <c r="U76" s="68" t="str">
        <f>D76</f>
        <v>(台31)高鐵南路三段</v>
      </c>
      <c r="V76" s="27">
        <f>IF($P76&gt;$T76,M76,Q76)</f>
        <v>57.52960223907553</v>
      </c>
      <c r="W76" s="27">
        <f t="shared" ref="W76:X79" si="39">IF($P76&gt;$T76,N76,R76)</f>
        <v>1384.8944248097457</v>
      </c>
      <c r="X76" s="27">
        <f t="shared" si="39"/>
        <v>455.39221982931372</v>
      </c>
      <c r="AB76" s="33">
        <f>X79</f>
        <v>136.03411208876136</v>
      </c>
      <c r="AC76" s="33">
        <f>W79</f>
        <v>1677.9100304724052</v>
      </c>
      <c r="AD76" s="33">
        <f>V79</f>
        <v>395.66052755237882</v>
      </c>
    </row>
    <row r="77" spans="4:32">
      <c r="D77" s="37" t="s">
        <v>104</v>
      </c>
      <c r="E77" s="35">
        <v>107.24000000000001</v>
      </c>
      <c r="F77" s="35">
        <v>1264.46</v>
      </c>
      <c r="G77" s="35">
        <v>25.36</v>
      </c>
      <c r="H77" s="35"/>
      <c r="I77" s="35">
        <v>71.2</v>
      </c>
      <c r="J77" s="35">
        <v>627.29999999999995</v>
      </c>
      <c r="K77" s="35">
        <v>54.160000000000004</v>
      </c>
      <c r="M77" s="27">
        <f t="shared" si="37"/>
        <v>147.59508478752298</v>
      </c>
      <c r="N77" s="27">
        <f t="shared" si="37"/>
        <v>1740.2842307947717</v>
      </c>
      <c r="O77" s="27">
        <f t="shared" si="37"/>
        <v>34.903127100070705</v>
      </c>
      <c r="P77" s="29">
        <f>M77+N77+O77</f>
        <v>1922.7824426823652</v>
      </c>
      <c r="Q77" s="27">
        <f t="shared" si="38"/>
        <v>97.993006684741104</v>
      </c>
      <c r="R77" s="27">
        <f t="shared" si="38"/>
        <v>863.35692546823157</v>
      </c>
      <c r="S77" s="27">
        <f t="shared" si="38"/>
        <v>74.540747781539025</v>
      </c>
      <c r="T77" s="29">
        <f>Q77+R77+S77</f>
        <v>1035.8906799345116</v>
      </c>
      <c r="U77" s="68" t="str">
        <f>D77</f>
        <v>(市道112)中正路三段</v>
      </c>
      <c r="V77" s="27">
        <f>IF($P77&gt;$T77,M77,Q77)</f>
        <v>147.59508478752298</v>
      </c>
      <c r="W77" s="27">
        <f t="shared" si="39"/>
        <v>1740.2842307947717</v>
      </c>
      <c r="X77" s="27">
        <f t="shared" si="39"/>
        <v>34.903127100070705</v>
      </c>
      <c r="AA77" s="34"/>
      <c r="AB77" s="7" t="s">
        <v>16</v>
      </c>
      <c r="AC77" s="7" t="s">
        <v>38</v>
      </c>
      <c r="AD77" s="6" t="s">
        <v>15</v>
      </c>
      <c r="AE77" s="21"/>
    </row>
    <row r="78" spans="4:32">
      <c r="D78" s="37" t="s">
        <v>105</v>
      </c>
      <c r="E78" s="35">
        <v>90.42</v>
      </c>
      <c r="F78" s="35">
        <v>1173.58</v>
      </c>
      <c r="G78" s="35">
        <v>32.1</v>
      </c>
      <c r="H78" s="35"/>
      <c r="I78" s="35">
        <v>86.2</v>
      </c>
      <c r="J78" s="35">
        <v>984.9</v>
      </c>
      <c r="K78" s="35">
        <v>54.94</v>
      </c>
      <c r="M78" s="27">
        <f t="shared" si="37"/>
        <v>124.44561326452656</v>
      </c>
      <c r="N78" s="27">
        <f t="shared" si="37"/>
        <v>1615.2055166443604</v>
      </c>
      <c r="O78" s="27">
        <f t="shared" si="37"/>
        <v>44.179431384553226</v>
      </c>
      <c r="P78" s="29">
        <f>M78+N78+O78</f>
        <v>1783.8305612934403</v>
      </c>
      <c r="Q78" s="27">
        <f t="shared" si="38"/>
        <v>118.63760078967252</v>
      </c>
      <c r="R78" s="27">
        <f t="shared" si="38"/>
        <v>1355.5240489297964</v>
      </c>
      <c r="S78" s="27">
        <f t="shared" si="38"/>
        <v>75.614266674995449</v>
      </c>
      <c r="T78" s="29">
        <f>Q78+R78+S78</f>
        <v>1549.7759163944643</v>
      </c>
      <c r="U78" s="68" t="str">
        <f>D78</f>
        <v>高鐵南路四段</v>
      </c>
      <c r="V78" s="27">
        <f>IF($P78&gt;$T78,M78,Q78)</f>
        <v>124.44561326452656</v>
      </c>
      <c r="W78" s="27">
        <f t="shared" si="39"/>
        <v>1615.2055166443604</v>
      </c>
      <c r="X78" s="27">
        <f t="shared" si="39"/>
        <v>44.179431384553226</v>
      </c>
      <c r="Z78" s="33">
        <f>V78</f>
        <v>124.44561326452656</v>
      </c>
      <c r="AA78" s="34" t="s">
        <v>14</v>
      </c>
      <c r="AB78" s="71"/>
      <c r="AC78" s="72" t="str">
        <f>U79</f>
        <v>中正路三段</v>
      </c>
      <c r="AD78" s="73"/>
      <c r="AE78" s="22" t="s">
        <v>17</v>
      </c>
      <c r="AF78" s="33">
        <f>X76</f>
        <v>455.39221982931372</v>
      </c>
    </row>
    <row r="79" spans="4:32">
      <c r="D79" s="37" t="s">
        <v>106</v>
      </c>
      <c r="E79" s="35">
        <v>350.96000000000004</v>
      </c>
      <c r="F79" s="35">
        <v>722.22</v>
      </c>
      <c r="G79" s="35">
        <v>106.1</v>
      </c>
      <c r="H79" s="35"/>
      <c r="I79" s="35">
        <v>287.48</v>
      </c>
      <c r="J79" s="35">
        <v>1219.1399999999999</v>
      </c>
      <c r="K79" s="35">
        <v>98.839999999999989</v>
      </c>
      <c r="M79" s="27">
        <f t="shared" si="37"/>
        <v>483.0284498044486</v>
      </c>
      <c r="N79" s="27">
        <f t="shared" si="37"/>
        <v>993.99591696423761</v>
      </c>
      <c r="O79" s="27">
        <f t="shared" si="37"/>
        <v>146.02609563554819</v>
      </c>
      <c r="P79" s="29">
        <f>M79+N79+O79</f>
        <v>1623.0504624042344</v>
      </c>
      <c r="Q79" s="27">
        <f t="shared" si="38"/>
        <v>395.66052755237882</v>
      </c>
      <c r="R79" s="27">
        <f t="shared" si="38"/>
        <v>1677.9100304724052</v>
      </c>
      <c r="S79" s="27">
        <f t="shared" si="38"/>
        <v>136.03411208876136</v>
      </c>
      <c r="T79" s="29">
        <f>Q79+R79+S79</f>
        <v>2209.6046701135456</v>
      </c>
      <c r="U79" s="68" t="str">
        <f>D79</f>
        <v>中正路三段</v>
      </c>
      <c r="V79" s="27">
        <f>IF($P79&gt;$T79,M79,Q79)</f>
        <v>395.66052755237882</v>
      </c>
      <c r="W79" s="27">
        <f t="shared" si="39"/>
        <v>1677.9100304724052</v>
      </c>
      <c r="X79" s="27">
        <f t="shared" si="39"/>
        <v>136.03411208876136</v>
      </c>
      <c r="Z79" s="33">
        <f>W78</f>
        <v>1615.2055166443604</v>
      </c>
      <c r="AA79" s="34" t="s">
        <v>52</v>
      </c>
      <c r="AB79" s="74" t="str">
        <f>U78</f>
        <v>高鐵南路四段</v>
      </c>
      <c r="AC79" s="74"/>
      <c r="AD79" s="73" t="str">
        <f>U76</f>
        <v>(台31)高鐵南路三段</v>
      </c>
      <c r="AE79" s="22" t="s">
        <v>53</v>
      </c>
      <c r="AF79" s="33">
        <f>W76</f>
        <v>1384.8944248097457</v>
      </c>
    </row>
    <row r="80" spans="4:32">
      <c r="U80" s="68"/>
      <c r="Z80" s="33">
        <f>X78</f>
        <v>44.179431384553226</v>
      </c>
      <c r="AA80" s="34" t="s">
        <v>15</v>
      </c>
      <c r="AB80" s="74"/>
      <c r="AC80" s="74" t="str">
        <f>U77</f>
        <v>(市道112)中正路三段</v>
      </c>
      <c r="AD80" s="73"/>
      <c r="AE80" s="22" t="s">
        <v>16</v>
      </c>
      <c r="AF80" s="33">
        <f>V76</f>
        <v>57.52960223907553</v>
      </c>
    </row>
    <row r="81" spans="4:32">
      <c r="U81" s="68"/>
      <c r="AA81" s="34"/>
      <c r="AB81" s="8" t="s">
        <v>17</v>
      </c>
      <c r="AC81" s="8" t="s">
        <v>39</v>
      </c>
      <c r="AD81" s="6" t="s">
        <v>14</v>
      </c>
      <c r="AE81" s="21"/>
    </row>
    <row r="82" spans="4:32">
      <c r="U82" s="68"/>
      <c r="AB82" s="33">
        <f>V77</f>
        <v>147.59508478752298</v>
      </c>
      <c r="AC82" s="33">
        <f>W77</f>
        <v>1740.2842307947717</v>
      </c>
      <c r="AD82" s="33">
        <f>X77</f>
        <v>34.903127100070705</v>
      </c>
    </row>
    <row r="83" spans="4:32">
      <c r="E83" s="184" t="s">
        <v>62</v>
      </c>
      <c r="F83" s="185"/>
      <c r="G83" s="185"/>
      <c r="H83" s="185"/>
      <c r="I83" s="185"/>
      <c r="J83" s="185"/>
      <c r="K83" s="185"/>
      <c r="M83" s="182" t="str">
        <f>E83</f>
        <v>市道114/市道115</v>
      </c>
      <c r="N83" s="183"/>
      <c r="O83" s="183"/>
      <c r="P83" s="183"/>
      <c r="Q83" s="183"/>
      <c r="R83" s="183"/>
      <c r="S83" s="183"/>
      <c r="T83" s="183"/>
      <c r="U83" s="68"/>
      <c r="V83" s="182" t="str">
        <f>M83</f>
        <v>市道114/市道115</v>
      </c>
      <c r="W83" s="183"/>
      <c r="X83" s="183"/>
      <c r="Z83" s="17"/>
      <c r="AA83" s="182" t="str">
        <f>V83</f>
        <v>市道114/市道115</v>
      </c>
      <c r="AB83" s="183"/>
      <c r="AC83" s="183"/>
      <c r="AD83" s="183"/>
      <c r="AE83" s="183"/>
    </row>
    <row r="84" spans="4:32">
      <c r="D84" s="37" t="s">
        <v>107</v>
      </c>
      <c r="E84" s="35">
        <v>43.62</v>
      </c>
      <c r="F84" s="35">
        <v>416.84000000000003</v>
      </c>
      <c r="G84" s="35">
        <v>210.98000000000002</v>
      </c>
      <c r="H84" s="35"/>
      <c r="I84" s="35">
        <v>51.5</v>
      </c>
      <c r="J84" s="35">
        <v>354.52</v>
      </c>
      <c r="K84" s="35">
        <v>256</v>
      </c>
      <c r="M84" s="27">
        <f t="shared" ref="M84:O87" si="40">E84*(1+$B$5)^($B$4-$B$3)</f>
        <v>60.034479657140544</v>
      </c>
      <c r="N84" s="27">
        <f t="shared" si="40"/>
        <v>573.69950711330739</v>
      </c>
      <c r="O84" s="27">
        <f t="shared" si="40"/>
        <v>290.37309761722867</v>
      </c>
      <c r="P84" s="29">
        <f>M84+N84+O84</f>
        <v>924.10708438767665</v>
      </c>
      <c r="Q84" s="27">
        <f t="shared" ref="Q84:S87" si="41">I84*(1+$B$5)^($B$4-$B$3)</f>
        <v>70.879773093597848</v>
      </c>
      <c r="R84" s="27">
        <f t="shared" si="41"/>
        <v>487.92810013868558</v>
      </c>
      <c r="S84" s="27">
        <f t="shared" si="41"/>
        <v>352.3344060574961</v>
      </c>
      <c r="T84" s="29">
        <f>Q84+R84+S84</f>
        <v>911.14227928977948</v>
      </c>
      <c r="U84" s="68" t="str">
        <f>D84</f>
        <v>(市道114)中山路</v>
      </c>
      <c r="V84" s="27">
        <f>IF($P84&gt;$T84,M84,Q84)</f>
        <v>60.034479657140544</v>
      </c>
      <c r="W84" s="27">
        <f t="shared" ref="W84:X87" si="42">IF($P84&gt;$T84,N84,R84)</f>
        <v>573.69950711330739</v>
      </c>
      <c r="X84" s="27">
        <f t="shared" si="42"/>
        <v>290.37309761722867</v>
      </c>
      <c r="AB84" s="33">
        <f>X87</f>
        <v>127.91390507415502</v>
      </c>
      <c r="AC84" s="33">
        <f>W87</f>
        <v>527.95108657677929</v>
      </c>
      <c r="AD84" s="33">
        <f>V87</f>
        <v>200.03235381404878</v>
      </c>
    </row>
    <row r="85" spans="4:32">
      <c r="D85" s="37" t="s">
        <v>108</v>
      </c>
      <c r="E85" s="35">
        <v>73.34</v>
      </c>
      <c r="F85" s="35">
        <v>417.38</v>
      </c>
      <c r="G85" s="35">
        <v>25.72</v>
      </c>
      <c r="H85" s="35"/>
      <c r="I85" s="35">
        <v>78.92</v>
      </c>
      <c r="J85" s="35">
        <v>330.3</v>
      </c>
      <c r="K85" s="35">
        <v>43.06</v>
      </c>
      <c r="M85" s="27">
        <f t="shared" si="40"/>
        <v>100.93830211037799</v>
      </c>
      <c r="N85" s="27">
        <f t="shared" si="40"/>
        <v>574.44271250108488</v>
      </c>
      <c r="O85" s="27">
        <f t="shared" si="40"/>
        <v>35.398597358589058</v>
      </c>
      <c r="P85" s="29">
        <f>M85+N85+O85</f>
        <v>710.77961197005197</v>
      </c>
      <c r="Q85" s="27">
        <f t="shared" si="41"/>
        <v>108.61809111741248</v>
      </c>
      <c r="R85" s="27">
        <f t="shared" si="41"/>
        <v>454.59396219058971</v>
      </c>
      <c r="S85" s="27">
        <f t="shared" si="41"/>
        <v>59.263748143889778</v>
      </c>
      <c r="T85" s="29">
        <f>Q85+R85+S85</f>
        <v>622.47580145189193</v>
      </c>
      <c r="U85" s="68" t="str">
        <f>D85</f>
        <v>(市道115)中華路</v>
      </c>
      <c r="V85" s="27">
        <f>IF($P85&gt;$T85,M85,Q85)</f>
        <v>100.93830211037799</v>
      </c>
      <c r="W85" s="27">
        <f t="shared" si="42"/>
        <v>574.44271250108488</v>
      </c>
      <c r="X85" s="27">
        <f t="shared" si="42"/>
        <v>35.398597358589058</v>
      </c>
      <c r="AA85" s="34"/>
      <c r="AB85" s="7" t="s">
        <v>16</v>
      </c>
      <c r="AC85" s="7" t="s">
        <v>38</v>
      </c>
      <c r="AD85" s="6" t="s">
        <v>15</v>
      </c>
      <c r="AE85" s="21"/>
    </row>
    <row r="86" spans="4:32">
      <c r="D86" s="37" t="s">
        <v>109</v>
      </c>
      <c r="E86" s="35">
        <v>61.32</v>
      </c>
      <c r="F86" s="35">
        <v>341.52</v>
      </c>
      <c r="G86" s="35">
        <v>108.74000000000001</v>
      </c>
      <c r="H86" s="35"/>
      <c r="I86" s="35">
        <v>53.5</v>
      </c>
      <c r="J86" s="35">
        <v>317.08</v>
      </c>
      <c r="K86" s="35">
        <v>134.54</v>
      </c>
      <c r="M86" s="27">
        <f t="shared" si="40"/>
        <v>84.395100700959617</v>
      </c>
      <c r="N86" s="27">
        <f t="shared" si="40"/>
        <v>470.03611858107837</v>
      </c>
      <c r="O86" s="27">
        <f t="shared" si="40"/>
        <v>149.65954419801614</v>
      </c>
      <c r="P86" s="29">
        <f>M86+N86+O86</f>
        <v>704.09076348005419</v>
      </c>
      <c r="Q86" s="27">
        <f t="shared" si="41"/>
        <v>73.632385640922038</v>
      </c>
      <c r="R86" s="27">
        <f t="shared" si="41"/>
        <v>436.3991932527768</v>
      </c>
      <c r="S86" s="27">
        <f t="shared" si="41"/>
        <v>185.16824605849814</v>
      </c>
      <c r="T86" s="29">
        <f>Q86+R86+S86</f>
        <v>695.19982495219699</v>
      </c>
      <c r="U86" s="68" t="str">
        <f>D86</f>
        <v>中山路</v>
      </c>
      <c r="V86" s="27">
        <f>IF($P86&gt;$T86,M86,Q86)</f>
        <v>84.395100700959617</v>
      </c>
      <c r="W86" s="27">
        <f t="shared" si="42"/>
        <v>470.03611858107837</v>
      </c>
      <c r="X86" s="27">
        <f t="shared" si="42"/>
        <v>149.65954419801614</v>
      </c>
      <c r="Z86" s="33">
        <f>V86</f>
        <v>84.395100700959617</v>
      </c>
      <c r="AA86" s="34" t="s">
        <v>14</v>
      </c>
      <c r="AB86" s="71"/>
      <c r="AC86" s="72" t="str">
        <f>U87</f>
        <v>中華路</v>
      </c>
      <c r="AD86" s="73"/>
      <c r="AE86" s="22" t="s">
        <v>17</v>
      </c>
      <c r="AF86" s="33">
        <f>X84</f>
        <v>290.37309761722867</v>
      </c>
    </row>
    <row r="87" spans="4:32">
      <c r="D87" s="37" t="s">
        <v>110</v>
      </c>
      <c r="E87" s="35">
        <v>176.45999999999998</v>
      </c>
      <c r="F87" s="35">
        <v>369.91999999999996</v>
      </c>
      <c r="G87" s="35">
        <v>64.179999999999993</v>
      </c>
      <c r="H87" s="35"/>
      <c r="I87" s="35">
        <v>145.34</v>
      </c>
      <c r="J87" s="35">
        <v>383.6</v>
      </c>
      <c r="K87" s="35">
        <v>92.94</v>
      </c>
      <c r="M87" s="27">
        <f t="shared" si="40"/>
        <v>242.86300505041311</v>
      </c>
      <c r="N87" s="27">
        <f t="shared" si="40"/>
        <v>509.12321675308181</v>
      </c>
      <c r="O87" s="27">
        <f t="shared" si="40"/>
        <v>88.331336643633193</v>
      </c>
      <c r="P87" s="29">
        <f>M87+N87+O87</f>
        <v>840.31755844712814</v>
      </c>
      <c r="Q87" s="27">
        <f t="shared" si="41"/>
        <v>200.03235381404878</v>
      </c>
      <c r="R87" s="27">
        <f t="shared" si="41"/>
        <v>527.95108657677929</v>
      </c>
      <c r="S87" s="27">
        <f t="shared" si="41"/>
        <v>127.91390507415502</v>
      </c>
      <c r="T87" s="29">
        <f>Q87+R87+S87</f>
        <v>855.89734546498312</v>
      </c>
      <c r="U87" s="68" t="str">
        <f>D87</f>
        <v>中華路</v>
      </c>
      <c r="V87" s="27">
        <f>IF($P87&gt;$T87,M87,Q87)</f>
        <v>200.03235381404878</v>
      </c>
      <c r="W87" s="27">
        <f t="shared" si="42"/>
        <v>527.95108657677929</v>
      </c>
      <c r="X87" s="27">
        <f t="shared" si="42"/>
        <v>127.91390507415502</v>
      </c>
      <c r="Z87" s="33">
        <f>W86</f>
        <v>470.03611858107837</v>
      </c>
      <c r="AA87" s="34" t="s">
        <v>52</v>
      </c>
      <c r="AB87" s="74" t="str">
        <f>U86</f>
        <v>中山路</v>
      </c>
      <c r="AC87" s="74"/>
      <c r="AD87" s="73" t="str">
        <f>U84</f>
        <v>(市道114)中山路</v>
      </c>
      <c r="AE87" s="22" t="s">
        <v>53</v>
      </c>
      <c r="AF87" s="33">
        <f>W84</f>
        <v>573.69950711330739</v>
      </c>
    </row>
    <row r="88" spans="4:32">
      <c r="U88" s="68"/>
      <c r="Z88" s="33">
        <f>X86</f>
        <v>149.65954419801614</v>
      </c>
      <c r="AA88" s="34" t="s">
        <v>15</v>
      </c>
      <c r="AB88" s="74"/>
      <c r="AC88" s="74" t="str">
        <f>U85</f>
        <v>(市道115)中華路</v>
      </c>
      <c r="AD88" s="73"/>
      <c r="AE88" s="22" t="s">
        <v>16</v>
      </c>
      <c r="AF88" s="33">
        <f>V84</f>
        <v>60.034479657140544</v>
      </c>
    </row>
    <row r="89" spans="4:32">
      <c r="U89" s="68"/>
      <c r="AA89" s="34"/>
      <c r="AB89" s="8" t="s">
        <v>17</v>
      </c>
      <c r="AC89" s="8" t="s">
        <v>39</v>
      </c>
      <c r="AD89" s="6" t="s">
        <v>14</v>
      </c>
      <c r="AE89" s="21"/>
    </row>
    <row r="90" spans="4:32">
      <c r="U90" s="68"/>
      <c r="AB90" s="33">
        <f>V85</f>
        <v>100.93830211037799</v>
      </c>
      <c r="AC90" s="33">
        <f>W85</f>
        <v>574.44271250108488</v>
      </c>
      <c r="AD90" s="33">
        <f>X85</f>
        <v>35.398597358589058</v>
      </c>
    </row>
    <row r="91" spans="4:32">
      <c r="E91" s="184" t="s">
        <v>63</v>
      </c>
      <c r="F91" s="185"/>
      <c r="G91" s="185"/>
      <c r="H91" s="185"/>
      <c r="I91" s="185"/>
      <c r="J91" s="185"/>
      <c r="K91" s="185"/>
      <c r="M91" s="182" t="str">
        <f>E91</f>
        <v>台66/市道114(西側)</v>
      </c>
      <c r="N91" s="183"/>
      <c r="O91" s="183"/>
      <c r="P91" s="183"/>
      <c r="Q91" s="183"/>
      <c r="R91" s="183"/>
      <c r="S91" s="183"/>
      <c r="T91" s="183"/>
      <c r="U91" s="68"/>
      <c r="V91" s="182" t="str">
        <f>M91</f>
        <v>台66/市道114(西側)</v>
      </c>
      <c r="W91" s="183"/>
      <c r="X91" s="183"/>
      <c r="Z91" s="17"/>
      <c r="AA91" s="182" t="str">
        <f>V91</f>
        <v>台66/市道114(西側)</v>
      </c>
      <c r="AB91" s="183"/>
      <c r="AC91" s="183"/>
      <c r="AD91" s="183"/>
      <c r="AE91" s="183"/>
    </row>
    <row r="92" spans="4:32">
      <c r="D92" s="37" t="s">
        <v>111</v>
      </c>
      <c r="E92" s="35">
        <v>38.400000000000006</v>
      </c>
      <c r="F92" s="35">
        <v>1244.5</v>
      </c>
      <c r="G92" s="35">
        <v>0</v>
      </c>
      <c r="H92" s="35"/>
      <c r="I92" s="35">
        <v>45.4</v>
      </c>
      <c r="J92" s="35">
        <v>878.24</v>
      </c>
      <c r="K92" s="35">
        <v>0</v>
      </c>
      <c r="M92" s="27">
        <f t="shared" ref="M92:O95" si="43">E92*(1+$B$5)^($B$4-$B$3)</f>
        <v>52.850160908624424</v>
      </c>
      <c r="N92" s="27">
        <f t="shared" si="43"/>
        <v>1712.813157572476</v>
      </c>
      <c r="O92" s="27">
        <f t="shared" si="43"/>
        <v>0</v>
      </c>
      <c r="P92" s="29">
        <f>M92+N92+O92</f>
        <v>1765.6633184811005</v>
      </c>
      <c r="Q92" s="27">
        <f t="shared" ref="Q92:S95" si="44">I92*(1+$B$5)^($B$4-$B$3)</f>
        <v>62.48430482425907</v>
      </c>
      <c r="R92" s="27">
        <f t="shared" si="44"/>
        <v>1208.7272217809975</v>
      </c>
      <c r="S92" s="27">
        <f t="shared" si="44"/>
        <v>0</v>
      </c>
      <c r="T92" s="29">
        <f>Q92+R92+S92</f>
        <v>1271.2115266052565</v>
      </c>
      <c r="U92" s="68" t="s">
        <v>186</v>
      </c>
      <c r="V92" s="27">
        <f>IF($P92&gt;$T92,M92,Q92)</f>
        <v>52.850160908624424</v>
      </c>
      <c r="W92" s="27">
        <f t="shared" ref="W92:X95" si="45">IF($P92&gt;$T92,N92,R92)</f>
        <v>1712.813157572476</v>
      </c>
      <c r="X92" s="27">
        <f t="shared" si="45"/>
        <v>0</v>
      </c>
      <c r="AB92" s="33">
        <f>X95</f>
        <v>77.596147709068873</v>
      </c>
      <c r="AC92" s="33">
        <f>W95</f>
        <v>323.2392914322794</v>
      </c>
      <c r="AD92" s="33">
        <f>V95</f>
        <v>147.45745416015677</v>
      </c>
    </row>
    <row r="93" spans="4:32">
      <c r="D93" s="37" t="s">
        <v>112</v>
      </c>
      <c r="E93" s="35">
        <v>0</v>
      </c>
      <c r="F93" s="35">
        <v>0</v>
      </c>
      <c r="G93" s="35">
        <v>0</v>
      </c>
      <c r="H93" s="35"/>
      <c r="I93" s="35">
        <v>0</v>
      </c>
      <c r="J93" s="35">
        <v>0</v>
      </c>
      <c r="K93" s="35">
        <v>0</v>
      </c>
      <c r="M93" s="27">
        <f t="shared" si="43"/>
        <v>0</v>
      </c>
      <c r="N93" s="27">
        <f t="shared" si="43"/>
        <v>0</v>
      </c>
      <c r="O93" s="27">
        <f t="shared" si="43"/>
        <v>0</v>
      </c>
      <c r="P93" s="29">
        <f>M93+N93+O93</f>
        <v>0</v>
      </c>
      <c r="Q93" s="27">
        <f t="shared" si="44"/>
        <v>0</v>
      </c>
      <c r="R93" s="27">
        <f t="shared" si="44"/>
        <v>0</v>
      </c>
      <c r="S93" s="27">
        <f t="shared" si="44"/>
        <v>0</v>
      </c>
      <c r="T93" s="29">
        <f>Q93+R93+S93</f>
        <v>0</v>
      </c>
      <c r="U93" s="68" t="s">
        <v>112</v>
      </c>
      <c r="V93" s="27">
        <f>IF($P93&gt;$T93,M93,Q93)</f>
        <v>0</v>
      </c>
      <c r="W93" s="27">
        <f t="shared" si="45"/>
        <v>0</v>
      </c>
      <c r="X93" s="27">
        <f t="shared" si="45"/>
        <v>0</v>
      </c>
      <c r="AA93" s="34"/>
      <c r="AB93" s="42" t="str">
        <f>"↙"&amp;AB95</f>
        <v>↙市道114西</v>
      </c>
      <c r="AC93" s="42" t="str">
        <f>"↓"&amp;AC96</f>
        <v>↓台66(東入)</v>
      </c>
      <c r="AD93" s="43" t="str">
        <f>"↘"&amp;AD95</f>
        <v>↘市道114東</v>
      </c>
      <c r="AE93" s="21"/>
    </row>
    <row r="94" spans="4:32">
      <c r="D94" s="37" t="s">
        <v>113</v>
      </c>
      <c r="E94" s="35">
        <v>0</v>
      </c>
      <c r="F94" s="35">
        <v>415.76</v>
      </c>
      <c r="G94" s="35">
        <v>755.32</v>
      </c>
      <c r="H94" s="35"/>
      <c r="I94" s="35">
        <v>0</v>
      </c>
      <c r="J94" s="35">
        <v>403.96000000000004</v>
      </c>
      <c r="K94" s="35">
        <v>643.34</v>
      </c>
      <c r="M94" s="27">
        <f t="shared" si="43"/>
        <v>0</v>
      </c>
      <c r="N94" s="27">
        <f t="shared" si="43"/>
        <v>572.21309633775229</v>
      </c>
      <c r="O94" s="27">
        <f t="shared" si="43"/>
        <v>1039.551654622453</v>
      </c>
      <c r="P94" s="29">
        <f>M94+N94+O94</f>
        <v>1611.7647509602052</v>
      </c>
      <c r="Q94" s="27">
        <f t="shared" si="44"/>
        <v>0</v>
      </c>
      <c r="R94" s="27">
        <f t="shared" si="44"/>
        <v>555.97268230853956</v>
      </c>
      <c r="S94" s="27">
        <f t="shared" si="44"/>
        <v>885.43287809777166</v>
      </c>
      <c r="T94" s="29">
        <f>Q94+R94+S94</f>
        <v>1441.4055604063112</v>
      </c>
      <c r="U94" s="68" t="s">
        <v>187</v>
      </c>
      <c r="V94" s="27">
        <f>IF($P94&gt;$T94,M94,Q94)</f>
        <v>0</v>
      </c>
      <c r="W94" s="27">
        <f t="shared" si="45"/>
        <v>572.21309633775229</v>
      </c>
      <c r="X94" s="27">
        <f t="shared" si="45"/>
        <v>1039.551654622453</v>
      </c>
      <c r="Z94" s="33">
        <f>V94</f>
        <v>0</v>
      </c>
      <c r="AA94" s="41" t="str">
        <f>"↗"&amp;AC94</f>
        <v>↗台66(東出)</v>
      </c>
      <c r="AB94" s="71"/>
      <c r="AC94" s="72" t="str">
        <f>U95</f>
        <v>台66(東出)</v>
      </c>
      <c r="AD94" s="73"/>
      <c r="AE94" s="59" t="str">
        <f>"↖"&amp;AC94</f>
        <v>↖台66(東出)</v>
      </c>
      <c r="AF94" s="33">
        <f>X92</f>
        <v>0</v>
      </c>
    </row>
    <row r="95" spans="4:32">
      <c r="D95" s="37" t="s">
        <v>114</v>
      </c>
      <c r="E95" s="35">
        <v>61.379999999999995</v>
      </c>
      <c r="F95" s="35">
        <v>160.79999999999998</v>
      </c>
      <c r="G95" s="35">
        <v>48.96</v>
      </c>
      <c r="H95" s="35"/>
      <c r="I95" s="35">
        <v>107.14</v>
      </c>
      <c r="J95" s="35">
        <v>234.85999999999999</v>
      </c>
      <c r="K95" s="35">
        <v>56.38</v>
      </c>
      <c r="M95" s="27">
        <f t="shared" si="43"/>
        <v>84.477679077379335</v>
      </c>
      <c r="N95" s="27">
        <f t="shared" si="43"/>
        <v>221.31004880486472</v>
      </c>
      <c r="O95" s="27">
        <f t="shared" si="43"/>
        <v>67.383955158496136</v>
      </c>
      <c r="P95" s="29">
        <f>M95+N95+O95</f>
        <v>373.17168304074016</v>
      </c>
      <c r="Q95" s="27">
        <f t="shared" si="44"/>
        <v>147.45745416015677</v>
      </c>
      <c r="R95" s="27">
        <f t="shared" si="44"/>
        <v>323.2392914322794</v>
      </c>
      <c r="S95" s="27">
        <f t="shared" si="44"/>
        <v>77.596147709068873</v>
      </c>
      <c r="T95" s="29">
        <f>Q95+R95+S95</f>
        <v>548.29289330150505</v>
      </c>
      <c r="U95" s="68" t="s">
        <v>114</v>
      </c>
      <c r="V95" s="27">
        <f>IF($P95&gt;$T95,M95,Q95)</f>
        <v>147.45745416015677</v>
      </c>
      <c r="W95" s="27">
        <f t="shared" si="45"/>
        <v>323.2392914322794</v>
      </c>
      <c r="X95" s="27">
        <f t="shared" si="45"/>
        <v>77.596147709068873</v>
      </c>
      <c r="Z95" s="33">
        <f>W94</f>
        <v>572.21309633775229</v>
      </c>
      <c r="AA95" s="41" t="str">
        <f>"→"&amp;AD95</f>
        <v>→市道114東</v>
      </c>
      <c r="AB95" s="74" t="str">
        <f>U94</f>
        <v>市道114西</v>
      </c>
      <c r="AC95" s="74"/>
      <c r="AD95" s="73" t="str">
        <f>U92</f>
        <v>市道114東</v>
      </c>
      <c r="AE95" s="59" t="str">
        <f>"←"&amp;AB95</f>
        <v>←市道114西</v>
      </c>
      <c r="AF95" s="33">
        <f>W92</f>
        <v>1712.813157572476</v>
      </c>
    </row>
    <row r="96" spans="4:32">
      <c r="U96" s="68"/>
      <c r="Z96" s="33">
        <f>X94</f>
        <v>1039.551654622453</v>
      </c>
      <c r="AA96" s="41" t="str">
        <f>"↘"&amp;AC96</f>
        <v>↘台66(東入)</v>
      </c>
      <c r="AB96" s="74"/>
      <c r="AC96" s="74" t="str">
        <f>U93</f>
        <v>台66(東入)</v>
      </c>
      <c r="AD96" s="73"/>
      <c r="AE96" s="59" t="str">
        <f>"↙"&amp;AC96</f>
        <v>↙台66(東入)</v>
      </c>
      <c r="AF96" s="33">
        <f>V92</f>
        <v>52.850160908624424</v>
      </c>
    </row>
    <row r="97" spans="4:32">
      <c r="U97" s="68"/>
      <c r="AA97" s="34"/>
      <c r="AB97" s="47" t="str">
        <f>"↖"&amp;AB95</f>
        <v>↖市道114西</v>
      </c>
      <c r="AC97" s="47" t="str">
        <f>"↑"&amp;AC94</f>
        <v>↑台66(東出)</v>
      </c>
      <c r="AD97" s="43" t="str">
        <f>"↗"&amp;AD95</f>
        <v>↗市道114東</v>
      </c>
      <c r="AE97" s="21"/>
    </row>
    <row r="98" spans="4:32">
      <c r="U98" s="68"/>
      <c r="AB98" s="33">
        <f>V93</f>
        <v>0</v>
      </c>
      <c r="AC98" s="33">
        <f>W93</f>
        <v>0</v>
      </c>
      <c r="AD98" s="33">
        <f>X93</f>
        <v>0</v>
      </c>
    </row>
    <row r="99" spans="4:32">
      <c r="E99" s="184" t="s">
        <v>64</v>
      </c>
      <c r="F99" s="185"/>
      <c r="G99" s="185"/>
      <c r="H99" s="185"/>
      <c r="I99" s="185"/>
      <c r="J99" s="185"/>
      <c r="K99" s="185"/>
      <c r="M99" s="182" t="str">
        <f>E99</f>
        <v>台31/市道114</v>
      </c>
      <c r="N99" s="183"/>
      <c r="O99" s="183"/>
      <c r="P99" s="183"/>
      <c r="Q99" s="183"/>
      <c r="R99" s="183"/>
      <c r="S99" s="183"/>
      <c r="T99" s="183"/>
      <c r="U99" s="68"/>
      <c r="V99" s="182" t="str">
        <f>M99</f>
        <v>台31/市道114</v>
      </c>
      <c r="W99" s="183"/>
      <c r="X99" s="183"/>
      <c r="Z99" s="17"/>
      <c r="AA99" s="182" t="str">
        <f>V99</f>
        <v>台31/市道114</v>
      </c>
      <c r="AB99" s="183"/>
      <c r="AC99" s="183"/>
      <c r="AD99" s="183"/>
      <c r="AE99" s="183"/>
    </row>
    <row r="100" spans="4:32">
      <c r="D100" s="37" t="s">
        <v>115</v>
      </c>
      <c r="E100" s="35">
        <v>72.2</v>
      </c>
      <c r="F100" s="35">
        <v>813.08</v>
      </c>
      <c r="G100" s="35">
        <v>307.7</v>
      </c>
      <c r="H100" s="35"/>
      <c r="I100" s="35">
        <v>159.68</v>
      </c>
      <c r="J100" s="35">
        <v>665.09999999999991</v>
      </c>
      <c r="K100" s="35">
        <v>258.82</v>
      </c>
      <c r="M100" s="27">
        <f t="shared" ref="M100:O103" si="46">E100*(1+$B$5)^($B$4-$B$3)</f>
        <v>99.369312958403199</v>
      </c>
      <c r="N100" s="27">
        <f t="shared" si="46"/>
        <v>1119.0471049891755</v>
      </c>
      <c r="O100" s="27">
        <f t="shared" si="46"/>
        <v>423.48944040582637</v>
      </c>
      <c r="P100" s="29">
        <f>M100+N100+O100</f>
        <v>1641.9058583534052</v>
      </c>
      <c r="Q100" s="27">
        <f t="shared" ref="Q100:S103" si="47">I100*(1+$B$5)^($B$4-$B$3)</f>
        <v>219.76858577836319</v>
      </c>
      <c r="R100" s="27">
        <f t="shared" si="47"/>
        <v>915.38130261265871</v>
      </c>
      <c r="S100" s="27">
        <f t="shared" si="47"/>
        <v>356.21558974922317</v>
      </c>
      <c r="T100" s="29">
        <f>Q100+R100+S100</f>
        <v>1491.3654781402452</v>
      </c>
      <c r="U100" s="68" t="str">
        <f>D100</f>
        <v>(台31)高鐵南路五段</v>
      </c>
      <c r="V100" s="27">
        <f>IF($P100&gt;$T100,M100,Q100)</f>
        <v>99.369312958403199</v>
      </c>
      <c r="W100" s="27">
        <f t="shared" ref="W100:X103" si="48">IF($P100&gt;$T100,N100,R100)</f>
        <v>1119.0471049891755</v>
      </c>
      <c r="X100" s="27">
        <f t="shared" si="48"/>
        <v>423.48944040582637</v>
      </c>
      <c r="AB100" s="33">
        <f>X103</f>
        <v>116.05014499518776</v>
      </c>
      <c r="AC100" s="33">
        <f>W103</f>
        <v>1226.3164159583991</v>
      </c>
      <c r="AD100" s="33">
        <f>V103</f>
        <v>299.81455865455058</v>
      </c>
    </row>
    <row r="101" spans="4:32">
      <c r="D101" s="37" t="s">
        <v>116</v>
      </c>
      <c r="E101" s="35">
        <v>162.68</v>
      </c>
      <c r="F101" s="35">
        <v>924.31999999999994</v>
      </c>
      <c r="G101" s="35">
        <v>26.04</v>
      </c>
      <c r="H101" s="35"/>
      <c r="I101" s="35">
        <v>83.2</v>
      </c>
      <c r="J101" s="35">
        <v>603.91999999999996</v>
      </c>
      <c r="K101" s="35">
        <v>31.540000000000003</v>
      </c>
      <c r="M101" s="27">
        <f t="shared" si="46"/>
        <v>223.89750459934947</v>
      </c>
      <c r="N101" s="27">
        <f t="shared" si="46"/>
        <v>1272.1474148713467</v>
      </c>
      <c r="O101" s="27">
        <f t="shared" si="46"/>
        <v>35.839015366160929</v>
      </c>
      <c r="P101" s="29">
        <f>M101+N101+O101</f>
        <v>1531.8839348368572</v>
      </c>
      <c r="Q101" s="27">
        <f t="shared" si="47"/>
        <v>114.50868196868623</v>
      </c>
      <c r="R101" s="27">
        <f t="shared" si="47"/>
        <v>831.17888479001181</v>
      </c>
      <c r="S101" s="27">
        <f t="shared" si="47"/>
        <v>43.408699871302453</v>
      </c>
      <c r="T101" s="29">
        <f>Q101+R101+S101</f>
        <v>989.09626663000051</v>
      </c>
      <c r="U101" s="68" t="str">
        <f>D101</f>
        <v>(市道114)民族路六段</v>
      </c>
      <c r="V101" s="27">
        <f>IF($P101&gt;$T101,M101,Q101)</f>
        <v>223.89750459934947</v>
      </c>
      <c r="W101" s="27">
        <f t="shared" si="48"/>
        <v>1272.1474148713467</v>
      </c>
      <c r="X101" s="27">
        <f t="shared" si="48"/>
        <v>35.839015366160929</v>
      </c>
      <c r="AA101" s="34"/>
      <c r="AB101" s="7" t="s">
        <v>16</v>
      </c>
      <c r="AC101" s="7" t="s">
        <v>38</v>
      </c>
      <c r="AD101" s="6" t="s">
        <v>15</v>
      </c>
      <c r="AE101" s="21"/>
    </row>
    <row r="102" spans="4:32">
      <c r="D102" s="37" t="s">
        <v>117</v>
      </c>
      <c r="E102" s="35">
        <v>131.04</v>
      </c>
      <c r="F102" s="35">
        <v>638.88</v>
      </c>
      <c r="G102" s="35">
        <v>99.06</v>
      </c>
      <c r="H102" s="35"/>
      <c r="I102" s="35">
        <v>203.82</v>
      </c>
      <c r="J102" s="35">
        <v>768.7</v>
      </c>
      <c r="K102" s="35">
        <v>112.33999999999999</v>
      </c>
      <c r="M102" s="27">
        <f t="shared" si="46"/>
        <v>180.35117410068079</v>
      </c>
      <c r="N102" s="27">
        <f t="shared" si="46"/>
        <v>879.29455211723871</v>
      </c>
      <c r="O102" s="27">
        <f t="shared" si="46"/>
        <v>136.33689946896706</v>
      </c>
      <c r="P102" s="29">
        <f>M102+N102+O102</f>
        <v>1195.9826256868864</v>
      </c>
      <c r="Q102" s="27">
        <f t="shared" si="47"/>
        <v>280.51874469780802</v>
      </c>
      <c r="R102" s="27">
        <f t="shared" si="47"/>
        <v>1057.9666325640519</v>
      </c>
      <c r="S102" s="27">
        <f t="shared" si="47"/>
        <v>154.61424678319963</v>
      </c>
      <c r="T102" s="29">
        <f>Q102+R102+S102</f>
        <v>1493.0996240450595</v>
      </c>
      <c r="U102" s="68" t="str">
        <f>D102</f>
        <v>高鐵南路六段</v>
      </c>
      <c r="V102" s="27">
        <f>IF($P102&gt;$T102,M102,Q102)</f>
        <v>280.51874469780802</v>
      </c>
      <c r="W102" s="27">
        <f t="shared" si="48"/>
        <v>1057.9666325640519</v>
      </c>
      <c r="X102" s="27">
        <f t="shared" si="48"/>
        <v>154.61424678319963</v>
      </c>
      <c r="Z102" s="33">
        <f>V102</f>
        <v>280.51874469780802</v>
      </c>
      <c r="AA102" s="34" t="s">
        <v>14</v>
      </c>
      <c r="AB102" s="71"/>
      <c r="AC102" s="72" t="str">
        <f>U103</f>
        <v>民族路六段</v>
      </c>
      <c r="AD102" s="73"/>
      <c r="AE102" s="22" t="s">
        <v>17</v>
      </c>
      <c r="AF102" s="33">
        <f>X100</f>
        <v>423.48944040582637</v>
      </c>
    </row>
    <row r="103" spans="4:32">
      <c r="D103" s="37" t="s">
        <v>118</v>
      </c>
      <c r="E103" s="35">
        <v>209.64</v>
      </c>
      <c r="F103" s="35">
        <v>567.44000000000005</v>
      </c>
      <c r="G103" s="35">
        <v>81.94</v>
      </c>
      <c r="H103" s="35"/>
      <c r="I103" s="35">
        <v>217.84</v>
      </c>
      <c r="J103" s="35">
        <v>891.02</v>
      </c>
      <c r="K103" s="35">
        <v>84.32</v>
      </c>
      <c r="M103" s="27">
        <f t="shared" si="46"/>
        <v>288.52884721052141</v>
      </c>
      <c r="N103" s="27">
        <f t="shared" si="46"/>
        <v>780.97123192681875</v>
      </c>
      <c r="O103" s="27">
        <f t="shared" si="46"/>
        <v>112.77453606387199</v>
      </c>
      <c r="P103" s="29">
        <f>M103+N103+O103</f>
        <v>1182.2746152012121</v>
      </c>
      <c r="Q103" s="27">
        <f t="shared" si="47"/>
        <v>299.81455865455058</v>
      </c>
      <c r="R103" s="27">
        <f t="shared" si="47"/>
        <v>1226.3164159583991</v>
      </c>
      <c r="S103" s="27">
        <f t="shared" si="47"/>
        <v>116.05014499518776</v>
      </c>
      <c r="T103" s="29">
        <f>Q103+R103+S103</f>
        <v>1642.1811196081376</v>
      </c>
      <c r="U103" s="68" t="str">
        <f>D103</f>
        <v>民族路六段</v>
      </c>
      <c r="V103" s="27">
        <f>IF($P103&gt;$T103,M103,Q103)</f>
        <v>299.81455865455058</v>
      </c>
      <c r="W103" s="27">
        <f t="shared" si="48"/>
        <v>1226.3164159583991</v>
      </c>
      <c r="X103" s="27">
        <f t="shared" si="48"/>
        <v>116.05014499518776</v>
      </c>
      <c r="Z103" s="33">
        <f>W102</f>
        <v>1057.9666325640519</v>
      </c>
      <c r="AA103" s="34" t="s">
        <v>52</v>
      </c>
      <c r="AB103" s="74" t="str">
        <f>U102</f>
        <v>高鐵南路六段</v>
      </c>
      <c r="AC103" s="74"/>
      <c r="AD103" s="73" t="str">
        <f>U100</f>
        <v>(台31)高鐵南路五段</v>
      </c>
      <c r="AE103" s="22" t="s">
        <v>53</v>
      </c>
      <c r="AF103" s="33">
        <f>W100</f>
        <v>1119.0471049891755</v>
      </c>
    </row>
    <row r="104" spans="4:32">
      <c r="U104" s="68"/>
      <c r="Z104" s="33">
        <f>X102</f>
        <v>154.61424678319963</v>
      </c>
      <c r="AA104" s="34" t="s">
        <v>15</v>
      </c>
      <c r="AB104" s="74"/>
      <c r="AC104" s="74" t="str">
        <f>U101</f>
        <v>(市道114)民族路六段</v>
      </c>
      <c r="AD104" s="73"/>
      <c r="AE104" s="22" t="s">
        <v>16</v>
      </c>
      <c r="AF104" s="33">
        <f>V100</f>
        <v>99.369312958403199</v>
      </c>
    </row>
    <row r="105" spans="4:32">
      <c r="U105" s="68"/>
      <c r="AA105" s="34"/>
      <c r="AB105" s="8" t="s">
        <v>17</v>
      </c>
      <c r="AC105" s="8" t="s">
        <v>39</v>
      </c>
      <c r="AD105" s="6" t="s">
        <v>14</v>
      </c>
      <c r="AE105" s="21"/>
    </row>
    <row r="106" spans="4:32">
      <c r="U106" s="68"/>
      <c r="AB106" s="33">
        <f>V101</f>
        <v>223.89750459934947</v>
      </c>
      <c r="AC106" s="33">
        <f>W101</f>
        <v>1272.1474148713467</v>
      </c>
      <c r="AD106" s="33">
        <f>X101</f>
        <v>35.839015366160929</v>
      </c>
    </row>
    <row r="107" spans="4:32">
      <c r="E107" s="184" t="s">
        <v>65</v>
      </c>
      <c r="F107" s="185"/>
      <c r="G107" s="185"/>
      <c r="H107" s="185"/>
      <c r="I107" s="185"/>
      <c r="J107" s="185"/>
      <c r="K107" s="185"/>
      <c r="M107" s="182" t="str">
        <f>E107</f>
        <v>台31/市道115</v>
      </c>
      <c r="N107" s="183"/>
      <c r="O107" s="183"/>
      <c r="P107" s="183"/>
      <c r="Q107" s="183"/>
      <c r="R107" s="183"/>
      <c r="S107" s="183"/>
      <c r="T107" s="183"/>
      <c r="U107" s="68"/>
      <c r="V107" s="182" t="str">
        <f>M107</f>
        <v>台31/市道115</v>
      </c>
      <c r="W107" s="183"/>
      <c r="X107" s="183"/>
      <c r="Z107" s="17"/>
      <c r="AA107" s="182" t="str">
        <f>V107</f>
        <v>台31/市道115</v>
      </c>
      <c r="AB107" s="183"/>
      <c r="AC107" s="183"/>
      <c r="AD107" s="183"/>
      <c r="AE107" s="183"/>
    </row>
    <row r="108" spans="4:32">
      <c r="D108" s="37" t="s">
        <v>119</v>
      </c>
      <c r="E108" s="35">
        <v>17.420000000000002</v>
      </c>
      <c r="F108" s="35">
        <v>708.9</v>
      </c>
      <c r="G108" s="35">
        <v>48.68</v>
      </c>
      <c r="H108" s="35"/>
      <c r="I108" s="35">
        <v>19.399999999999999</v>
      </c>
      <c r="J108" s="35">
        <v>605.24</v>
      </c>
      <c r="K108" s="35">
        <v>36.18</v>
      </c>
      <c r="M108" s="27">
        <f t="shared" ref="M108:O111" si="49">E108*(1+$B$5)^($B$4-$B$3)</f>
        <v>23.975255287193683</v>
      </c>
      <c r="N108" s="27">
        <f t="shared" si="49"/>
        <v>975.66351739905849</v>
      </c>
      <c r="O108" s="27">
        <f t="shared" si="49"/>
        <v>66.998589401870746</v>
      </c>
      <c r="P108" s="29">
        <f>M108+N108+O108</f>
        <v>1066.6373620881229</v>
      </c>
      <c r="Q108" s="27">
        <f t="shared" ref="Q108:S111" si="50">I108*(1+$B$5)^($B$4-$B$3)</f>
        <v>26.700341709044626</v>
      </c>
      <c r="R108" s="27">
        <f t="shared" si="50"/>
        <v>832.99560907124589</v>
      </c>
      <c r="S108" s="27">
        <f t="shared" si="50"/>
        <v>49.794760981094562</v>
      </c>
      <c r="T108" s="29">
        <f>Q108+R108+S108</f>
        <v>909.49071176138511</v>
      </c>
      <c r="U108" s="68" t="str">
        <f>D108</f>
        <v>(台31)高鐵南路七段</v>
      </c>
      <c r="V108" s="27">
        <f>IF($P108&gt;$T108,M108,Q108)</f>
        <v>23.975255287193683</v>
      </c>
      <c r="W108" s="27">
        <f t="shared" ref="W108:X111" si="51">IF($P108&gt;$T108,N108,R108)</f>
        <v>975.66351739905849</v>
      </c>
      <c r="X108" s="27">
        <f t="shared" si="51"/>
        <v>66.998589401870746</v>
      </c>
      <c r="AB108" s="33">
        <f>X111</f>
        <v>141.95222906550836</v>
      </c>
      <c r="AC108" s="33">
        <f>W111</f>
        <v>495.80057202403282</v>
      </c>
      <c r="AD108" s="33">
        <f>V111</f>
        <v>50.317757365086166</v>
      </c>
    </row>
    <row r="109" spans="4:32">
      <c r="D109" s="37" t="s">
        <v>120</v>
      </c>
      <c r="E109" s="35">
        <v>17.68</v>
      </c>
      <c r="F109" s="35">
        <v>466.86</v>
      </c>
      <c r="G109" s="35">
        <v>23.12</v>
      </c>
      <c r="H109" s="35"/>
      <c r="I109" s="35">
        <v>15.64</v>
      </c>
      <c r="J109" s="35">
        <v>316.98</v>
      </c>
      <c r="K109" s="35">
        <v>24.1</v>
      </c>
      <c r="M109" s="27">
        <f t="shared" si="49"/>
        <v>24.333094918345825</v>
      </c>
      <c r="N109" s="27">
        <f t="shared" si="49"/>
        <v>642.54234692188527</v>
      </c>
      <c r="O109" s="27">
        <f t="shared" si="49"/>
        <v>31.820201047067616</v>
      </c>
      <c r="P109" s="29">
        <f>M109+N109+O109</f>
        <v>698.69564288729873</v>
      </c>
      <c r="Q109" s="27">
        <f t="shared" si="50"/>
        <v>21.525430120075153</v>
      </c>
      <c r="R109" s="27">
        <f t="shared" si="50"/>
        <v>436.26156262541065</v>
      </c>
      <c r="S109" s="27">
        <f t="shared" si="50"/>
        <v>33.168981195256471</v>
      </c>
      <c r="T109" s="29">
        <f>Q109+R109+S109</f>
        <v>490.9559739407423</v>
      </c>
      <c r="U109" s="68" t="str">
        <f>D109</f>
        <v>(市道115)楊新路四段</v>
      </c>
      <c r="V109" s="27">
        <f>IF($P109&gt;$T109,M109,Q109)</f>
        <v>24.333094918345825</v>
      </c>
      <c r="W109" s="27">
        <f t="shared" si="51"/>
        <v>642.54234692188527</v>
      </c>
      <c r="X109" s="27">
        <f t="shared" si="51"/>
        <v>31.820201047067616</v>
      </c>
      <c r="AA109" s="34"/>
      <c r="AB109" s="7" t="s">
        <v>16</v>
      </c>
      <c r="AC109" s="7" t="s">
        <v>38</v>
      </c>
      <c r="AD109" s="6" t="s">
        <v>15</v>
      </c>
      <c r="AE109" s="21"/>
    </row>
    <row r="110" spans="4:32">
      <c r="D110" s="37" t="s">
        <v>121</v>
      </c>
      <c r="E110" s="35">
        <v>96.460000000000008</v>
      </c>
      <c r="F110" s="35">
        <v>728.16000000000008</v>
      </c>
      <c r="G110" s="35">
        <v>24.96</v>
      </c>
      <c r="H110" s="35"/>
      <c r="I110" s="35">
        <v>78.64</v>
      </c>
      <c r="J110" s="35">
        <v>656.24</v>
      </c>
      <c r="K110" s="35">
        <v>26</v>
      </c>
      <c r="M110" s="27">
        <f t="shared" si="49"/>
        <v>132.7585031574456</v>
      </c>
      <c r="N110" s="27">
        <f t="shared" si="49"/>
        <v>1002.1711762297906</v>
      </c>
      <c r="O110" s="27">
        <f t="shared" si="49"/>
        <v>34.352604590605871</v>
      </c>
      <c r="P110" s="29">
        <f>M110+N110+O110</f>
        <v>1169.2822839778421</v>
      </c>
      <c r="Q110" s="27">
        <f t="shared" si="50"/>
        <v>108.23272536078709</v>
      </c>
      <c r="R110" s="27">
        <f t="shared" si="50"/>
        <v>903.18722902801267</v>
      </c>
      <c r="S110" s="27">
        <f t="shared" si="50"/>
        <v>35.783963115214448</v>
      </c>
      <c r="T110" s="29">
        <f>Q110+R110+S110</f>
        <v>1047.2039175040143</v>
      </c>
      <c r="U110" s="68" t="str">
        <f>D110</f>
        <v>高鐵南路七段</v>
      </c>
      <c r="V110" s="27">
        <f>IF($P110&gt;$T110,M110,Q110)</f>
        <v>132.7585031574456</v>
      </c>
      <c r="W110" s="27">
        <f t="shared" si="51"/>
        <v>1002.1711762297906</v>
      </c>
      <c r="X110" s="27">
        <f t="shared" si="51"/>
        <v>34.352604590605871</v>
      </c>
      <c r="Z110" s="33">
        <f>V110</f>
        <v>132.7585031574456</v>
      </c>
      <c r="AA110" s="34" t="s">
        <v>14</v>
      </c>
      <c r="AB110" s="71"/>
      <c r="AC110" s="72" t="str">
        <f>U111</f>
        <v>楊新路四段</v>
      </c>
      <c r="AD110" s="73"/>
      <c r="AE110" s="22" t="s">
        <v>17</v>
      </c>
      <c r="AF110" s="33">
        <f>X108</f>
        <v>66.998589401870746</v>
      </c>
    </row>
    <row r="111" spans="4:32">
      <c r="D111" s="37" t="s">
        <v>122</v>
      </c>
      <c r="E111" s="35">
        <v>37.6</v>
      </c>
      <c r="F111" s="35">
        <v>290.89999999999998</v>
      </c>
      <c r="G111" s="35">
        <v>125.94</v>
      </c>
      <c r="H111" s="35"/>
      <c r="I111" s="35">
        <v>36.56</v>
      </c>
      <c r="J111" s="35">
        <v>360.24</v>
      </c>
      <c r="K111" s="35">
        <v>103.13999999999999</v>
      </c>
      <c r="M111" s="27">
        <f t="shared" si="49"/>
        <v>51.749115889694743</v>
      </c>
      <c r="N111" s="27">
        <f t="shared" si="49"/>
        <v>400.36749500830314</v>
      </c>
      <c r="O111" s="27">
        <f t="shared" si="49"/>
        <v>173.33201210500414</v>
      </c>
      <c r="P111" s="29">
        <f>M111+N111+O111</f>
        <v>625.44862300300201</v>
      </c>
      <c r="Q111" s="27">
        <f t="shared" si="50"/>
        <v>50.317757365086166</v>
      </c>
      <c r="R111" s="27">
        <f t="shared" si="50"/>
        <v>495.80057202403282</v>
      </c>
      <c r="S111" s="27">
        <f t="shared" si="50"/>
        <v>141.95222906550836</v>
      </c>
      <c r="T111" s="29">
        <f>Q111+R111+S111</f>
        <v>688.07055845462742</v>
      </c>
      <c r="U111" s="68" t="str">
        <f>D111</f>
        <v>楊新路四段</v>
      </c>
      <c r="V111" s="27">
        <f>IF($P111&gt;$T111,M111,Q111)</f>
        <v>50.317757365086166</v>
      </c>
      <c r="W111" s="27">
        <f t="shared" si="51"/>
        <v>495.80057202403282</v>
      </c>
      <c r="X111" s="27">
        <f t="shared" si="51"/>
        <v>141.95222906550836</v>
      </c>
      <c r="Z111" s="33">
        <f>W110</f>
        <v>1002.1711762297906</v>
      </c>
      <c r="AA111" s="34" t="s">
        <v>52</v>
      </c>
      <c r="AB111" s="74" t="str">
        <f>U110</f>
        <v>高鐵南路七段</v>
      </c>
      <c r="AC111" s="74"/>
      <c r="AD111" s="73" t="str">
        <f>U108</f>
        <v>(台31)高鐵南路七段</v>
      </c>
      <c r="AE111" s="22" t="s">
        <v>53</v>
      </c>
      <c r="AF111" s="33">
        <f>W108</f>
        <v>975.66351739905849</v>
      </c>
    </row>
    <row r="112" spans="4:32">
      <c r="U112" s="68"/>
      <c r="Z112" s="33">
        <f>X110</f>
        <v>34.352604590605871</v>
      </c>
      <c r="AA112" s="34" t="s">
        <v>15</v>
      </c>
      <c r="AB112" s="74"/>
      <c r="AC112" s="74" t="str">
        <f>U109</f>
        <v>(市道115)楊新路四段</v>
      </c>
      <c r="AD112" s="73"/>
      <c r="AE112" s="22" t="s">
        <v>16</v>
      </c>
      <c r="AF112" s="33">
        <f>V108</f>
        <v>23.975255287193683</v>
      </c>
    </row>
    <row r="113" spans="4:32">
      <c r="U113" s="68"/>
      <c r="AA113" s="34"/>
      <c r="AB113" s="8" t="s">
        <v>17</v>
      </c>
      <c r="AC113" s="8" t="s">
        <v>39</v>
      </c>
      <c r="AD113" s="6" t="s">
        <v>14</v>
      </c>
      <c r="AE113" s="21"/>
    </row>
    <row r="114" spans="4:32">
      <c r="U114" s="68"/>
      <c r="AB114" s="33">
        <f>V109</f>
        <v>24.333094918345825</v>
      </c>
      <c r="AC114" s="33">
        <f>W109</f>
        <v>642.54234692188527</v>
      </c>
      <c r="AD114" s="33">
        <f>X109</f>
        <v>31.820201047067616</v>
      </c>
    </row>
    <row r="115" spans="4:32">
      <c r="E115" s="184" t="s">
        <v>66</v>
      </c>
      <c r="F115" s="185"/>
      <c r="G115" s="185"/>
      <c r="H115" s="185"/>
      <c r="I115" s="185"/>
      <c r="J115" s="185"/>
      <c r="K115" s="185"/>
      <c r="M115" s="182" t="str">
        <f>E115</f>
        <v>市道115/桃110</v>
      </c>
      <c r="N115" s="183"/>
      <c r="O115" s="183"/>
      <c r="P115" s="183"/>
      <c r="Q115" s="183"/>
      <c r="R115" s="183"/>
      <c r="S115" s="183"/>
      <c r="T115" s="183"/>
      <c r="U115" s="68"/>
      <c r="V115" s="182" t="str">
        <f>M115</f>
        <v>市道115/桃110</v>
      </c>
      <c r="W115" s="183"/>
      <c r="X115" s="183"/>
      <c r="Z115" s="17"/>
      <c r="AA115" s="182" t="str">
        <f>V115</f>
        <v>市道115/桃110</v>
      </c>
      <c r="AB115" s="183"/>
      <c r="AC115" s="183"/>
      <c r="AD115" s="183"/>
      <c r="AE115" s="183"/>
    </row>
    <row r="116" spans="4:32">
      <c r="D116" s="37" t="s">
        <v>123</v>
      </c>
      <c r="E116" s="35">
        <v>5.3599999999999994</v>
      </c>
      <c r="F116" s="35">
        <v>1.68</v>
      </c>
      <c r="G116" s="35">
        <v>2.6799999999999997</v>
      </c>
      <c r="H116" s="35"/>
      <c r="I116" s="35">
        <v>1.42</v>
      </c>
      <c r="J116" s="35">
        <v>0</v>
      </c>
      <c r="K116" s="35">
        <v>0.42</v>
      </c>
      <c r="M116" s="27">
        <f t="shared" ref="M116:O119" si="52">E116*(1+$B$5)^($B$4-$B$3)</f>
        <v>7.3770016268288234</v>
      </c>
      <c r="N116" s="27">
        <f t="shared" si="52"/>
        <v>2.3121945397523183</v>
      </c>
      <c r="O116" s="27">
        <f t="shared" si="52"/>
        <v>3.6885008134144117</v>
      </c>
      <c r="P116" s="29">
        <f>M116+N116+O116</f>
        <v>13.377696979995552</v>
      </c>
      <c r="Q116" s="27">
        <f t="shared" ref="Q116:S119" si="53">I116*(1+$B$5)^($B$4-$B$3)</f>
        <v>1.9543549086001735</v>
      </c>
      <c r="R116" s="27">
        <f t="shared" si="53"/>
        <v>0</v>
      </c>
      <c r="S116" s="27">
        <f t="shared" si="53"/>
        <v>0.57804863493807956</v>
      </c>
      <c r="T116" s="29">
        <f>Q116+R116+S116</f>
        <v>2.532403543538253</v>
      </c>
      <c r="U116" s="68" t="str">
        <f>D116</f>
        <v>水美國小出入口</v>
      </c>
      <c r="V116" s="27">
        <f>IF($P116&gt;$T116,M116,Q116)</f>
        <v>7.3770016268288234</v>
      </c>
      <c r="W116" s="27">
        <f t="shared" ref="W116:X119" si="54">IF($P116&gt;$T116,N116,R116)</f>
        <v>2.3121945397523183</v>
      </c>
      <c r="X116" s="27">
        <f t="shared" si="54"/>
        <v>3.6885008134144117</v>
      </c>
      <c r="AB116" s="33">
        <f>X119</f>
        <v>22.901736393737249</v>
      </c>
      <c r="AC116" s="33">
        <f>W119</f>
        <v>693.74094030211506</v>
      </c>
      <c r="AD116" s="33">
        <f>V119</f>
        <v>0</v>
      </c>
    </row>
    <row r="117" spans="4:32">
      <c r="D117" s="37" t="s">
        <v>124</v>
      </c>
      <c r="E117" s="35">
        <v>539.64</v>
      </c>
      <c r="F117" s="35">
        <v>668</v>
      </c>
      <c r="G117" s="35">
        <v>12.04</v>
      </c>
      <c r="H117" s="35"/>
      <c r="I117" s="35">
        <v>343.32</v>
      </c>
      <c r="J117" s="35">
        <v>420.5</v>
      </c>
      <c r="K117" s="35">
        <v>0.42</v>
      </c>
      <c r="M117" s="27">
        <f t="shared" si="52"/>
        <v>742.70991751901249</v>
      </c>
      <c r="N117" s="27">
        <f t="shared" si="52"/>
        <v>919.37259080627882</v>
      </c>
      <c r="O117" s="27">
        <f t="shared" si="52"/>
        <v>16.570727534891613</v>
      </c>
      <c r="P117" s="29">
        <f>M117+N117+O117</f>
        <v>1678.6532358601828</v>
      </c>
      <c r="Q117" s="27">
        <f t="shared" si="53"/>
        <v>472.51346987367015</v>
      </c>
      <c r="R117" s="27">
        <f t="shared" si="53"/>
        <v>578.73678807491058</v>
      </c>
      <c r="S117" s="27">
        <f t="shared" si="53"/>
        <v>0.57804863493807956</v>
      </c>
      <c r="T117" s="29">
        <f>Q117+R117+S117</f>
        <v>1051.828306583519</v>
      </c>
      <c r="U117" s="68" t="str">
        <f>D117</f>
        <v>(市道115)楊新路一段</v>
      </c>
      <c r="V117" s="27">
        <f>IF($P117&gt;$T117,M117,Q117)</f>
        <v>742.70991751901249</v>
      </c>
      <c r="W117" s="27">
        <f t="shared" si="54"/>
        <v>919.37259080627882</v>
      </c>
      <c r="X117" s="27">
        <f t="shared" si="54"/>
        <v>16.570727534891613</v>
      </c>
      <c r="AA117" s="34"/>
      <c r="AB117" s="7" t="s">
        <v>16</v>
      </c>
      <c r="AC117" s="7" t="s">
        <v>38</v>
      </c>
      <c r="AD117" s="6" t="s">
        <v>15</v>
      </c>
      <c r="AE117" s="21"/>
    </row>
    <row r="118" spans="4:32">
      <c r="D118" s="37" t="s">
        <v>125</v>
      </c>
      <c r="E118" s="35">
        <v>28.52</v>
      </c>
      <c r="F118" s="35">
        <v>4.7799999999999994</v>
      </c>
      <c r="G118" s="35">
        <v>439.14</v>
      </c>
      <c r="H118" s="35"/>
      <c r="I118" s="35">
        <v>11.08</v>
      </c>
      <c r="J118" s="35">
        <v>0</v>
      </c>
      <c r="K118" s="35">
        <v>484.64</v>
      </c>
      <c r="M118" s="27">
        <f t="shared" si="52"/>
        <v>39.252254924842923</v>
      </c>
      <c r="N118" s="27">
        <f t="shared" si="52"/>
        <v>6.5787439881048089</v>
      </c>
      <c r="O118" s="27">
        <f t="shared" si="52"/>
        <v>604.39113701597205</v>
      </c>
      <c r="P118" s="29">
        <f>M118+N118+O118</f>
        <v>650.22213592891978</v>
      </c>
      <c r="Q118" s="27">
        <f t="shared" si="53"/>
        <v>15.249473512176003</v>
      </c>
      <c r="R118" s="27">
        <f t="shared" si="53"/>
        <v>0</v>
      </c>
      <c r="S118" s="27">
        <f t="shared" si="53"/>
        <v>667.01307246759723</v>
      </c>
      <c r="T118" s="29">
        <f>Q118+R118+S118</f>
        <v>682.26254597977322</v>
      </c>
      <c r="U118" s="68" t="str">
        <f>D118</f>
        <v>(桃110)民富路一段</v>
      </c>
      <c r="V118" s="27">
        <f>IF($P118&gt;$T118,M118,Q118)</f>
        <v>15.249473512176003</v>
      </c>
      <c r="W118" s="27">
        <f t="shared" si="54"/>
        <v>0</v>
      </c>
      <c r="X118" s="27">
        <f t="shared" si="54"/>
        <v>667.01307246759723</v>
      </c>
      <c r="Z118" s="33">
        <f>V118</f>
        <v>15.249473512176003</v>
      </c>
      <c r="AA118" s="34" t="s">
        <v>14</v>
      </c>
      <c r="AB118" s="71"/>
      <c r="AC118" s="72" t="str">
        <f>U119</f>
        <v>楊新路二段</v>
      </c>
      <c r="AD118" s="73"/>
      <c r="AE118" s="22" t="s">
        <v>17</v>
      </c>
      <c r="AF118" s="33">
        <f>X116</f>
        <v>3.6885008134144117</v>
      </c>
    </row>
    <row r="119" spans="4:32">
      <c r="D119" s="37" t="s">
        <v>126</v>
      </c>
      <c r="E119" s="35">
        <v>3.1</v>
      </c>
      <c r="F119" s="35">
        <v>418.86</v>
      </c>
      <c r="G119" s="35">
        <v>15.100000000000001</v>
      </c>
      <c r="H119" s="35"/>
      <c r="I119" s="35">
        <v>0</v>
      </c>
      <c r="J119" s="35">
        <v>504.05999999999995</v>
      </c>
      <c r="K119" s="35">
        <v>16.64</v>
      </c>
      <c r="M119" s="27">
        <f t="shared" si="52"/>
        <v>4.2665494483524915</v>
      </c>
      <c r="N119" s="27">
        <f t="shared" si="52"/>
        <v>576.47964578610481</v>
      </c>
      <c r="O119" s="27">
        <f t="shared" si="52"/>
        <v>20.782224732297625</v>
      </c>
      <c r="P119" s="29">
        <f>M119+N119+O119</f>
        <v>601.528419966755</v>
      </c>
      <c r="Q119" s="27">
        <f t="shared" si="53"/>
        <v>0</v>
      </c>
      <c r="R119" s="27">
        <f t="shared" si="53"/>
        <v>693.74094030211506</v>
      </c>
      <c r="S119" s="27">
        <f t="shared" si="53"/>
        <v>22.901736393737249</v>
      </c>
      <c r="T119" s="29">
        <f>Q119+R119+S119</f>
        <v>716.64267669585229</v>
      </c>
      <c r="U119" s="68" t="str">
        <f>D119</f>
        <v>楊新路二段</v>
      </c>
      <c r="V119" s="27">
        <f>IF($P119&gt;$T119,M119,Q119)</f>
        <v>0</v>
      </c>
      <c r="W119" s="27">
        <f t="shared" si="54"/>
        <v>693.74094030211506</v>
      </c>
      <c r="X119" s="27">
        <f t="shared" si="54"/>
        <v>22.901736393737249</v>
      </c>
      <c r="Z119" s="33">
        <f>W118</f>
        <v>0</v>
      </c>
      <c r="AA119" s="34" t="s">
        <v>52</v>
      </c>
      <c r="AB119" s="74" t="str">
        <f>U118</f>
        <v>(桃110)民富路一段</v>
      </c>
      <c r="AC119" s="74"/>
      <c r="AD119" s="73" t="str">
        <f>U116</f>
        <v>水美國小出入口</v>
      </c>
      <c r="AE119" s="22" t="s">
        <v>53</v>
      </c>
      <c r="AF119" s="33">
        <f>W116</f>
        <v>2.3121945397523183</v>
      </c>
    </row>
    <row r="120" spans="4:32">
      <c r="U120" s="68"/>
      <c r="Z120" s="33">
        <f>X118</f>
        <v>667.01307246759723</v>
      </c>
      <c r="AA120" s="34" t="s">
        <v>15</v>
      </c>
      <c r="AB120" s="74"/>
      <c r="AC120" s="74" t="str">
        <f>U117</f>
        <v>(市道115)楊新路一段</v>
      </c>
      <c r="AD120" s="73"/>
      <c r="AE120" s="22" t="s">
        <v>16</v>
      </c>
      <c r="AF120" s="33">
        <f>V116</f>
        <v>7.3770016268288234</v>
      </c>
    </row>
    <row r="121" spans="4:32">
      <c r="U121" s="68"/>
      <c r="AA121" s="34"/>
      <c r="AB121" s="8" t="s">
        <v>17</v>
      </c>
      <c r="AC121" s="8" t="s">
        <v>39</v>
      </c>
      <c r="AD121" s="6" t="s">
        <v>14</v>
      </c>
      <c r="AE121" s="21"/>
    </row>
    <row r="122" spans="4:32">
      <c r="U122" s="68"/>
      <c r="AB122" s="33">
        <f>V117</f>
        <v>742.70991751901249</v>
      </c>
      <c r="AC122" s="33">
        <f>W117</f>
        <v>919.37259080627882</v>
      </c>
      <c r="AD122" s="33">
        <f>X117</f>
        <v>16.570727534891613</v>
      </c>
    </row>
    <row r="123" spans="4:32">
      <c r="E123" s="184" t="s">
        <v>67</v>
      </c>
      <c r="F123" s="185"/>
      <c r="G123" s="185"/>
      <c r="H123" s="185"/>
      <c r="I123" s="185"/>
      <c r="J123" s="185"/>
      <c r="K123" s="185"/>
      <c r="M123" s="182" t="str">
        <f>E123</f>
        <v>台1/台31</v>
      </c>
      <c r="N123" s="183"/>
      <c r="O123" s="183"/>
      <c r="P123" s="183"/>
      <c r="Q123" s="183"/>
      <c r="R123" s="183"/>
      <c r="S123" s="183"/>
      <c r="T123" s="183"/>
      <c r="U123" s="68"/>
      <c r="V123" s="182" t="str">
        <f>M123</f>
        <v>台1/台31</v>
      </c>
      <c r="W123" s="183"/>
      <c r="X123" s="183"/>
      <c r="Z123" s="17"/>
      <c r="AA123" s="182" t="str">
        <f>V123</f>
        <v>台1/台31</v>
      </c>
      <c r="AB123" s="183"/>
      <c r="AC123" s="183"/>
      <c r="AD123" s="183"/>
      <c r="AE123" s="183"/>
    </row>
    <row r="124" spans="4:32">
      <c r="D124" s="37" t="s">
        <v>127</v>
      </c>
      <c r="E124" s="35">
        <v>0</v>
      </c>
      <c r="F124" s="35">
        <v>625.44000000000005</v>
      </c>
      <c r="G124" s="35">
        <v>4.42</v>
      </c>
      <c r="H124" s="35"/>
      <c r="I124" s="35">
        <v>0</v>
      </c>
      <c r="J124" s="35">
        <v>430.48</v>
      </c>
      <c r="K124" s="35">
        <v>4.42</v>
      </c>
      <c r="M124" s="27">
        <f t="shared" ref="M124:O127" si="55">E124*(1+$B$5)^($B$4-$B$3)</f>
        <v>0</v>
      </c>
      <c r="N124" s="27">
        <f t="shared" si="55"/>
        <v>860.79699579922021</v>
      </c>
      <c r="O124" s="27">
        <f t="shared" si="55"/>
        <v>6.0832737295864563</v>
      </c>
      <c r="P124" s="29">
        <f>M124+N124+O124</f>
        <v>866.88026952880671</v>
      </c>
      <c r="Q124" s="27">
        <f t="shared" ref="Q124:S127" si="56">I124*(1+$B$5)^($B$4-$B$3)</f>
        <v>0</v>
      </c>
      <c r="R124" s="27">
        <f t="shared" si="56"/>
        <v>592.4723246860583</v>
      </c>
      <c r="S124" s="27">
        <f t="shared" si="56"/>
        <v>6.0832737295864563</v>
      </c>
      <c r="T124" s="29">
        <f>Q124+R124+S124</f>
        <v>598.55559841564479</v>
      </c>
      <c r="U124" s="68" t="str">
        <f>D124</f>
        <v>(台1)八德路二段</v>
      </c>
      <c r="V124" s="27">
        <f>IF($P124&gt;$T124,M124,Q124)</f>
        <v>0</v>
      </c>
      <c r="W124" s="27">
        <f t="shared" ref="W124:X127" si="57">IF($P124&gt;$T124,N124,R124)</f>
        <v>860.79699579922021</v>
      </c>
      <c r="X124" s="27">
        <f t="shared" si="57"/>
        <v>6.0832737295864563</v>
      </c>
      <c r="AB124" s="33">
        <f>X127</f>
        <v>431.60964742043274</v>
      </c>
      <c r="AC124" s="33">
        <f>W127</f>
        <v>0</v>
      </c>
      <c r="AD124" s="33">
        <f>V127</f>
        <v>5.2850160908624408</v>
      </c>
    </row>
    <row r="125" spans="4:32">
      <c r="D125" s="37" t="s">
        <v>77</v>
      </c>
      <c r="E125" s="35">
        <v>0</v>
      </c>
      <c r="F125" s="35">
        <v>0</v>
      </c>
      <c r="G125" s="35">
        <v>0</v>
      </c>
      <c r="H125" s="35"/>
      <c r="I125" s="35">
        <v>0</v>
      </c>
      <c r="J125" s="35">
        <v>0</v>
      </c>
      <c r="K125" s="35">
        <v>0</v>
      </c>
      <c r="M125" s="27">
        <f t="shared" si="55"/>
        <v>0</v>
      </c>
      <c r="N125" s="27">
        <f t="shared" si="55"/>
        <v>0</v>
      </c>
      <c r="O125" s="27">
        <f t="shared" si="55"/>
        <v>0</v>
      </c>
      <c r="P125" s="29">
        <f>M125+N125+O125</f>
        <v>0</v>
      </c>
      <c r="Q125" s="27">
        <f t="shared" si="56"/>
        <v>0</v>
      </c>
      <c r="R125" s="27">
        <f t="shared" si="56"/>
        <v>0</v>
      </c>
      <c r="S125" s="27">
        <f t="shared" si="56"/>
        <v>0</v>
      </c>
      <c r="T125" s="29">
        <f>Q125+R125+S125</f>
        <v>0</v>
      </c>
      <c r="U125" s="68" t="str">
        <f>D125</f>
        <v>無</v>
      </c>
      <c r="V125" s="27">
        <f>IF($P125&gt;$T125,M125,Q125)</f>
        <v>0</v>
      </c>
      <c r="W125" s="27">
        <f t="shared" si="57"/>
        <v>0</v>
      </c>
      <c r="X125" s="27">
        <f t="shared" si="57"/>
        <v>0</v>
      </c>
      <c r="AA125" s="34"/>
      <c r="AB125" s="7" t="s">
        <v>16</v>
      </c>
      <c r="AC125" s="7" t="s">
        <v>38</v>
      </c>
      <c r="AD125" s="6" t="s">
        <v>15</v>
      </c>
      <c r="AE125" s="21"/>
    </row>
    <row r="126" spans="4:32">
      <c r="D126" s="37" t="s">
        <v>128</v>
      </c>
      <c r="E126" s="35">
        <v>152.6</v>
      </c>
      <c r="F126" s="35">
        <v>654.16</v>
      </c>
      <c r="G126" s="35">
        <v>0</v>
      </c>
      <c r="H126" s="35"/>
      <c r="I126" s="35">
        <v>230.70000000000002</v>
      </c>
      <c r="J126" s="35">
        <v>705.12</v>
      </c>
      <c r="K126" s="35">
        <v>0</v>
      </c>
      <c r="M126" s="27">
        <f t="shared" si="55"/>
        <v>210.02433736083555</v>
      </c>
      <c r="N126" s="27">
        <f t="shared" si="55"/>
        <v>900.3245119787955</v>
      </c>
      <c r="O126" s="27">
        <f t="shared" si="55"/>
        <v>0</v>
      </c>
      <c r="P126" s="29">
        <f>M126+N126+O126</f>
        <v>1110.348849339631</v>
      </c>
      <c r="Q126" s="27">
        <f t="shared" si="56"/>
        <v>317.51385733384512</v>
      </c>
      <c r="R126" s="27">
        <f t="shared" si="56"/>
        <v>970.46107968461581</v>
      </c>
      <c r="S126" s="27">
        <f t="shared" si="56"/>
        <v>0</v>
      </c>
      <c r="T126" s="29">
        <f>Q126+R126+S126</f>
        <v>1287.9749370184609</v>
      </c>
      <c r="U126" s="68" t="str">
        <f>D126</f>
        <v>八德路二段</v>
      </c>
      <c r="V126" s="27">
        <f>IF($P126&gt;$T126,M126,Q126)</f>
        <v>317.51385733384512</v>
      </c>
      <c r="W126" s="27">
        <f t="shared" si="57"/>
        <v>970.46107968461581</v>
      </c>
      <c r="X126" s="27">
        <f t="shared" si="57"/>
        <v>0</v>
      </c>
      <c r="Z126" s="33">
        <f>V126</f>
        <v>317.51385733384512</v>
      </c>
      <c r="AA126" s="34" t="s">
        <v>14</v>
      </c>
      <c r="AB126" s="71"/>
      <c r="AC126" s="72" t="str">
        <f>U127</f>
        <v>台31</v>
      </c>
      <c r="AD126" s="73"/>
      <c r="AE126" s="22" t="s">
        <v>17</v>
      </c>
      <c r="AF126" s="33">
        <f>X124</f>
        <v>6.0832737295864563</v>
      </c>
    </row>
    <row r="127" spans="4:32">
      <c r="D127" s="37" t="s">
        <v>129</v>
      </c>
      <c r="E127" s="35">
        <v>3.84</v>
      </c>
      <c r="F127" s="35">
        <v>0</v>
      </c>
      <c r="G127" s="35">
        <v>313.60000000000002</v>
      </c>
      <c r="H127" s="35"/>
      <c r="I127" s="35">
        <v>0</v>
      </c>
      <c r="J127" s="35">
        <v>0</v>
      </c>
      <c r="K127" s="35">
        <v>153.52000000000001</v>
      </c>
      <c r="M127" s="27">
        <f t="shared" si="55"/>
        <v>5.2850160908624408</v>
      </c>
      <c r="N127" s="27">
        <f t="shared" si="55"/>
        <v>0</v>
      </c>
      <c r="O127" s="27">
        <f t="shared" si="55"/>
        <v>431.60964742043274</v>
      </c>
      <c r="P127" s="29">
        <f>M127+N127+O127</f>
        <v>436.89466351129516</v>
      </c>
      <c r="Q127" s="27">
        <f t="shared" si="56"/>
        <v>0</v>
      </c>
      <c r="R127" s="27">
        <f t="shared" si="56"/>
        <v>0</v>
      </c>
      <c r="S127" s="27">
        <f t="shared" si="56"/>
        <v>211.29053913260469</v>
      </c>
      <c r="T127" s="29">
        <f>Q127+R127+S127</f>
        <v>211.29053913260469</v>
      </c>
      <c r="U127" s="68" t="str">
        <f>D127</f>
        <v>台31</v>
      </c>
      <c r="V127" s="27">
        <f>IF($P127&gt;$T127,M127,Q127)</f>
        <v>5.2850160908624408</v>
      </c>
      <c r="W127" s="27">
        <f t="shared" si="57"/>
        <v>0</v>
      </c>
      <c r="X127" s="27">
        <f t="shared" si="57"/>
        <v>431.60964742043274</v>
      </c>
      <c r="Z127" s="33">
        <f>W126</f>
        <v>970.46107968461581</v>
      </c>
      <c r="AA127" s="34" t="s">
        <v>52</v>
      </c>
      <c r="AB127" s="74" t="str">
        <f>U126</f>
        <v>八德路二段</v>
      </c>
      <c r="AC127" s="74"/>
      <c r="AD127" s="73" t="str">
        <f>U124</f>
        <v>(台1)八德路二段</v>
      </c>
      <c r="AE127" s="22" t="s">
        <v>53</v>
      </c>
      <c r="AF127" s="33">
        <f>W124</f>
        <v>860.79699579922021</v>
      </c>
    </row>
    <row r="128" spans="4:32">
      <c r="U128" s="68"/>
      <c r="Z128" s="33">
        <f>X126</f>
        <v>0</v>
      </c>
      <c r="AA128" s="34" t="s">
        <v>15</v>
      </c>
      <c r="AB128" s="74"/>
      <c r="AC128" s="74" t="str">
        <f>U125</f>
        <v>無</v>
      </c>
      <c r="AD128" s="73"/>
      <c r="AE128" s="22" t="s">
        <v>16</v>
      </c>
      <c r="AF128" s="33">
        <f>V124</f>
        <v>0</v>
      </c>
    </row>
    <row r="129" spans="4:32">
      <c r="U129" s="68"/>
      <c r="AA129" s="34"/>
      <c r="AB129" s="8" t="s">
        <v>17</v>
      </c>
      <c r="AC129" s="8" t="s">
        <v>39</v>
      </c>
      <c r="AD129" s="6" t="s">
        <v>14</v>
      </c>
      <c r="AE129" s="21"/>
    </row>
    <row r="130" spans="4:32">
      <c r="U130" s="68"/>
      <c r="AB130" s="33">
        <f>V125</f>
        <v>0</v>
      </c>
      <c r="AC130" s="33">
        <f>W125</f>
        <v>0</v>
      </c>
      <c r="AD130" s="33">
        <f>X125</f>
        <v>0</v>
      </c>
    </row>
    <row r="131" spans="4:32">
      <c r="E131" s="184" t="s">
        <v>68</v>
      </c>
      <c r="F131" s="185"/>
      <c r="G131" s="185"/>
      <c r="H131" s="185"/>
      <c r="I131" s="185"/>
      <c r="J131" s="185"/>
      <c r="K131" s="185"/>
      <c r="M131" s="182" t="str">
        <f>E131</f>
        <v>台1/市道115</v>
      </c>
      <c r="N131" s="183"/>
      <c r="O131" s="183"/>
      <c r="P131" s="183"/>
      <c r="Q131" s="183"/>
      <c r="R131" s="183"/>
      <c r="S131" s="183"/>
      <c r="T131" s="183"/>
      <c r="U131" s="68"/>
      <c r="V131" s="182" t="str">
        <f>M131</f>
        <v>台1/市道115</v>
      </c>
      <c r="W131" s="183"/>
      <c r="X131" s="183"/>
      <c r="Z131" s="17"/>
      <c r="AA131" s="182" t="str">
        <f>V131</f>
        <v>台1/市道115</v>
      </c>
      <c r="AB131" s="183"/>
      <c r="AC131" s="183"/>
      <c r="AD131" s="183"/>
      <c r="AE131" s="183"/>
    </row>
    <row r="132" spans="4:32">
      <c r="D132" s="37" t="s">
        <v>130</v>
      </c>
      <c r="E132" s="35">
        <v>44.8</v>
      </c>
      <c r="F132" s="35">
        <v>1271.52</v>
      </c>
      <c r="G132" s="35">
        <v>96.759999999999991</v>
      </c>
      <c r="H132" s="35"/>
      <c r="I132" s="35">
        <v>45.6</v>
      </c>
      <c r="J132" s="35">
        <v>832.57999999999993</v>
      </c>
      <c r="K132" s="35">
        <v>172.44</v>
      </c>
      <c r="M132" s="27">
        <f t="shared" ref="M132:O135" si="58">E132*(1+$B$5)^($B$4-$B$3)</f>
        <v>61.658521060061815</v>
      </c>
      <c r="N132" s="27">
        <f t="shared" si="58"/>
        <v>1750.0009530868258</v>
      </c>
      <c r="O132" s="27">
        <f t="shared" si="58"/>
        <v>133.17139503954422</v>
      </c>
      <c r="P132" s="29">
        <f>M132+N132+O132</f>
        <v>1944.8308691864318</v>
      </c>
      <c r="Q132" s="27">
        <f t="shared" ref="Q132:S135" si="59">I132*(1+$B$5)^($B$4-$B$3)</f>
        <v>62.759566078991497</v>
      </c>
      <c r="R132" s="27">
        <f t="shared" si="59"/>
        <v>1145.8850773255863</v>
      </c>
      <c r="S132" s="27">
        <f t="shared" si="59"/>
        <v>237.3302538302915</v>
      </c>
      <c r="T132" s="29">
        <f>Q132+R132+S132</f>
        <v>1445.9748972348693</v>
      </c>
      <c r="U132" s="68" t="str">
        <f>D132</f>
        <v>(台1)中山路</v>
      </c>
      <c r="V132" s="27">
        <f>IF($P132&gt;$T132,M132,Q132)</f>
        <v>61.658521060061815</v>
      </c>
      <c r="W132" s="27">
        <f t="shared" ref="W132:X135" si="60">IF($P132&gt;$T132,N132,R132)</f>
        <v>1750.0009530868258</v>
      </c>
      <c r="X132" s="27">
        <f t="shared" si="60"/>
        <v>133.17139503954422</v>
      </c>
      <c r="AB132" s="33">
        <f>X135</f>
        <v>183.46162627915717</v>
      </c>
      <c r="AC132" s="33">
        <f>W135</f>
        <v>473.33925363786744</v>
      </c>
      <c r="AD132" s="33">
        <f>V135</f>
        <v>210.96022562692579</v>
      </c>
    </row>
    <row r="133" spans="4:32">
      <c r="D133" s="37" t="s">
        <v>131</v>
      </c>
      <c r="E133" s="35">
        <v>75.599999999999994</v>
      </c>
      <c r="F133" s="35">
        <v>421.24</v>
      </c>
      <c r="G133" s="35">
        <v>47.879999999999995</v>
      </c>
      <c r="H133" s="35"/>
      <c r="I133" s="35">
        <v>62.8</v>
      </c>
      <c r="J133" s="35">
        <v>311.62</v>
      </c>
      <c r="K133" s="35">
        <v>32.18</v>
      </c>
      <c r="M133" s="27">
        <f t="shared" si="58"/>
        <v>104.04875428885431</v>
      </c>
      <c r="N133" s="27">
        <f t="shared" si="58"/>
        <v>579.7552547174206</v>
      </c>
      <c r="O133" s="27">
        <f t="shared" si="58"/>
        <v>65.897544382941064</v>
      </c>
      <c r="P133" s="29">
        <f>M133+N133+O133</f>
        <v>749.70155338921597</v>
      </c>
      <c r="Q133" s="27">
        <f t="shared" si="59"/>
        <v>86.432033985979501</v>
      </c>
      <c r="R133" s="27">
        <f t="shared" si="59"/>
        <v>428.88456099858178</v>
      </c>
      <c r="S133" s="27">
        <f t="shared" si="59"/>
        <v>44.289535886446188</v>
      </c>
      <c r="T133" s="29">
        <f>Q133+R133+S133</f>
        <v>559.60613087100751</v>
      </c>
      <c r="U133" s="68" t="str">
        <f>D133</f>
        <v>中山路125巷</v>
      </c>
      <c r="V133" s="27">
        <f>IF($P133&gt;$T133,M133,Q133)</f>
        <v>104.04875428885431</v>
      </c>
      <c r="W133" s="27">
        <f t="shared" si="60"/>
        <v>579.7552547174206</v>
      </c>
      <c r="X133" s="27">
        <f t="shared" si="60"/>
        <v>65.897544382941064</v>
      </c>
      <c r="AA133" s="34"/>
      <c r="AB133" s="7" t="s">
        <v>16</v>
      </c>
      <c r="AC133" s="7" t="s">
        <v>38</v>
      </c>
      <c r="AD133" s="6" t="s">
        <v>15</v>
      </c>
      <c r="AE133" s="21"/>
    </row>
    <row r="134" spans="4:32">
      <c r="D134" s="37" t="s">
        <v>109</v>
      </c>
      <c r="E134" s="35">
        <v>115.24000000000001</v>
      </c>
      <c r="F134" s="35">
        <v>888.19999999999993</v>
      </c>
      <c r="G134" s="35">
        <v>121.88</v>
      </c>
      <c r="H134" s="35"/>
      <c r="I134" s="35">
        <v>98.02</v>
      </c>
      <c r="J134" s="35">
        <v>1068.98</v>
      </c>
      <c r="K134" s="35">
        <v>63.94</v>
      </c>
      <c r="M134" s="27">
        <f t="shared" si="58"/>
        <v>158.60553497681974</v>
      </c>
      <c r="N134" s="27">
        <f t="shared" si="58"/>
        <v>1222.4352322666718</v>
      </c>
      <c r="O134" s="27">
        <f t="shared" si="58"/>
        <v>167.74420863393601</v>
      </c>
      <c r="P134" s="29">
        <f>M134+N134+O134</f>
        <v>1548.7849758774278</v>
      </c>
      <c r="Q134" s="27">
        <f t="shared" si="59"/>
        <v>134.90554094435845</v>
      </c>
      <c r="R134" s="27">
        <f t="shared" si="59"/>
        <v>1471.2438804193055</v>
      </c>
      <c r="S134" s="27">
        <f t="shared" si="59"/>
        <v>88.001023137954292</v>
      </c>
      <c r="T134" s="29">
        <f>Q134+R134+S134</f>
        <v>1694.150444501618</v>
      </c>
      <c r="U134" s="68" t="str">
        <f>D134</f>
        <v>中山路</v>
      </c>
      <c r="V134" s="27">
        <f>IF($P134&gt;$T134,M134,Q134)</f>
        <v>134.90554094435845</v>
      </c>
      <c r="W134" s="27">
        <f t="shared" si="60"/>
        <v>1471.2438804193055</v>
      </c>
      <c r="X134" s="27">
        <f t="shared" si="60"/>
        <v>88.001023137954292</v>
      </c>
      <c r="Z134" s="33">
        <f>V134</f>
        <v>134.90554094435845</v>
      </c>
      <c r="AA134" s="34" t="s">
        <v>14</v>
      </c>
      <c r="AB134" s="71"/>
      <c r="AC134" s="72" t="str">
        <f>U135</f>
        <v>(市道115)大成路</v>
      </c>
      <c r="AD134" s="73"/>
      <c r="AE134" s="22" t="s">
        <v>17</v>
      </c>
      <c r="AF134" s="33">
        <f>X132</f>
        <v>133.17139503954422</v>
      </c>
    </row>
    <row r="135" spans="4:32">
      <c r="D135" s="37" t="s">
        <v>132</v>
      </c>
      <c r="E135" s="35">
        <v>92.7</v>
      </c>
      <c r="F135" s="35">
        <v>343.26</v>
      </c>
      <c r="G135" s="35">
        <v>135.02000000000001</v>
      </c>
      <c r="H135" s="35"/>
      <c r="I135" s="35">
        <v>153.28</v>
      </c>
      <c r="J135" s="35">
        <v>343.92</v>
      </c>
      <c r="K135" s="35">
        <v>133.30000000000001</v>
      </c>
      <c r="M135" s="27">
        <f t="shared" si="58"/>
        <v>127.58359156847612</v>
      </c>
      <c r="N135" s="27">
        <f t="shared" si="58"/>
        <v>472.4308914972504</v>
      </c>
      <c r="O135" s="27">
        <f t="shared" si="58"/>
        <v>185.82887306985597</v>
      </c>
      <c r="P135" s="29">
        <f>M135+N135+O135</f>
        <v>785.84335613558244</v>
      </c>
      <c r="Q135" s="27">
        <f t="shared" si="59"/>
        <v>210.96022562692579</v>
      </c>
      <c r="R135" s="27">
        <f t="shared" si="59"/>
        <v>473.33925363786744</v>
      </c>
      <c r="S135" s="27">
        <f t="shared" si="59"/>
        <v>183.46162627915717</v>
      </c>
      <c r="T135" s="29">
        <f>Q135+R135+S135</f>
        <v>867.76110554395041</v>
      </c>
      <c r="U135" s="68" t="str">
        <f>D135</f>
        <v>(市道115)大成路</v>
      </c>
      <c r="V135" s="27">
        <f>IF($P135&gt;$T135,M135,Q135)</f>
        <v>210.96022562692579</v>
      </c>
      <c r="W135" s="27">
        <f t="shared" si="60"/>
        <v>473.33925363786744</v>
      </c>
      <c r="X135" s="27">
        <f t="shared" si="60"/>
        <v>183.46162627915717</v>
      </c>
      <c r="Z135" s="33">
        <f>W134</f>
        <v>1471.2438804193055</v>
      </c>
      <c r="AA135" s="34" t="s">
        <v>52</v>
      </c>
      <c r="AB135" s="74" t="str">
        <f>U134</f>
        <v>中山路</v>
      </c>
      <c r="AC135" s="74"/>
      <c r="AD135" s="73" t="str">
        <f>U132</f>
        <v>(台1)中山路</v>
      </c>
      <c r="AE135" s="22" t="s">
        <v>53</v>
      </c>
      <c r="AF135" s="33">
        <f>W132</f>
        <v>1750.0009530868258</v>
      </c>
    </row>
    <row r="136" spans="4:32">
      <c r="U136" s="68"/>
      <c r="Z136" s="33">
        <f>X134</f>
        <v>88.001023137954292</v>
      </c>
      <c r="AA136" s="34" t="s">
        <v>15</v>
      </c>
      <c r="AB136" s="74"/>
      <c r="AC136" s="74" t="str">
        <f>U133</f>
        <v>中山路125巷</v>
      </c>
      <c r="AD136" s="73"/>
      <c r="AE136" s="22" t="s">
        <v>16</v>
      </c>
      <c r="AF136" s="33">
        <f>V132</f>
        <v>61.658521060061815</v>
      </c>
    </row>
    <row r="137" spans="4:32">
      <c r="U137" s="68"/>
      <c r="AA137" s="34"/>
      <c r="AB137" s="8" t="s">
        <v>17</v>
      </c>
      <c r="AC137" s="8" t="s">
        <v>39</v>
      </c>
      <c r="AD137" s="6" t="s">
        <v>14</v>
      </c>
      <c r="AE137" s="21"/>
    </row>
    <row r="138" spans="4:32">
      <c r="U138" s="68"/>
      <c r="AB138" s="33">
        <f>V133</f>
        <v>104.04875428885431</v>
      </c>
      <c r="AC138" s="33">
        <f>W133</f>
        <v>579.7552547174206</v>
      </c>
      <c r="AD138" s="33">
        <f>X133</f>
        <v>65.897544382941064</v>
      </c>
    </row>
    <row r="139" spans="4:32">
      <c r="E139" s="184" t="s">
        <v>69</v>
      </c>
      <c r="F139" s="185"/>
      <c r="G139" s="185"/>
      <c r="H139" s="185"/>
      <c r="I139" s="185"/>
      <c r="J139" s="185"/>
      <c r="K139" s="185"/>
      <c r="M139" s="182" t="str">
        <f>E139</f>
        <v>台61/市道114(西側)</v>
      </c>
      <c r="N139" s="183"/>
      <c r="O139" s="183"/>
      <c r="P139" s="183"/>
      <c r="Q139" s="183"/>
      <c r="R139" s="183"/>
      <c r="S139" s="183"/>
      <c r="T139" s="183"/>
      <c r="U139" s="68"/>
      <c r="V139" s="182" t="str">
        <f>M139</f>
        <v>台61/市道114(西側)</v>
      </c>
      <c r="W139" s="183"/>
      <c r="X139" s="183"/>
      <c r="Z139" s="17"/>
      <c r="AA139" s="182" t="str">
        <f>V139</f>
        <v>台61/市道114(西側)</v>
      </c>
      <c r="AB139" s="183"/>
      <c r="AC139" s="183"/>
      <c r="AD139" s="183"/>
      <c r="AE139" s="183"/>
    </row>
    <row r="140" spans="4:32">
      <c r="D140" s="37" t="s">
        <v>133</v>
      </c>
      <c r="E140" s="35">
        <v>58</v>
      </c>
      <c r="F140" s="35">
        <v>90.48</v>
      </c>
      <c r="G140" s="35">
        <v>0</v>
      </c>
      <c r="H140" s="35"/>
      <c r="I140" s="35">
        <v>84.62</v>
      </c>
      <c r="J140" s="35">
        <v>106.62</v>
      </c>
      <c r="K140" s="35">
        <v>0</v>
      </c>
      <c r="M140" s="27">
        <f t="shared" ref="M140:O143" si="61">E140*(1+$B$5)^($B$4-$B$3)</f>
        <v>79.825763872401453</v>
      </c>
      <c r="N140" s="27">
        <f t="shared" si="61"/>
        <v>124.52819164094628</v>
      </c>
      <c r="O140" s="27">
        <f t="shared" si="61"/>
        <v>0</v>
      </c>
      <c r="P140" s="29">
        <f>M140+N140+O140</f>
        <v>204.35395551334773</v>
      </c>
      <c r="Q140" s="27">
        <f t="shared" ref="Q140:S143" si="62">I140*(1+$B$5)^($B$4-$B$3)</f>
        <v>116.46303687728641</v>
      </c>
      <c r="R140" s="27">
        <f t="shared" si="62"/>
        <v>146.74177489785248</v>
      </c>
      <c r="S140" s="27">
        <f t="shared" si="62"/>
        <v>0</v>
      </c>
      <c r="T140" s="29">
        <f>Q140+R140+S140</f>
        <v>263.20481177513886</v>
      </c>
      <c r="U140" s="68" t="str">
        <f>D140</f>
        <v>(市道114)中山西路三段</v>
      </c>
      <c r="V140" s="27">
        <f>IF($P140&gt;$T140,M140,Q140)</f>
        <v>116.46303687728641</v>
      </c>
      <c r="W140" s="27">
        <f t="shared" ref="W140:X143" si="63">IF($P140&gt;$T140,N140,R140)</f>
        <v>146.74177489785248</v>
      </c>
      <c r="X140" s="27">
        <f t="shared" si="63"/>
        <v>0</v>
      </c>
      <c r="AB140" s="33">
        <f>X143</f>
        <v>77.486043207175896</v>
      </c>
      <c r="AC140" s="33">
        <f>W143</f>
        <v>166.89089874426554</v>
      </c>
      <c r="AD140" s="33">
        <f>V143</f>
        <v>129.64805097896928</v>
      </c>
    </row>
    <row r="141" spans="4:32">
      <c r="D141" s="37" t="s">
        <v>134</v>
      </c>
      <c r="E141" s="35">
        <v>0</v>
      </c>
      <c r="F141" s="35">
        <v>0</v>
      </c>
      <c r="G141" s="35">
        <v>0</v>
      </c>
      <c r="H141" s="35"/>
      <c r="I141" s="35">
        <v>0</v>
      </c>
      <c r="J141" s="35">
        <v>0</v>
      </c>
      <c r="K141" s="35">
        <v>0</v>
      </c>
      <c r="M141" s="27">
        <f t="shared" si="61"/>
        <v>0</v>
      </c>
      <c r="N141" s="27">
        <f t="shared" si="61"/>
        <v>0</v>
      </c>
      <c r="O141" s="27">
        <f t="shared" si="61"/>
        <v>0</v>
      </c>
      <c r="P141" s="29">
        <f>M141+N141+O141</f>
        <v>0</v>
      </c>
      <c r="Q141" s="27">
        <f t="shared" si="62"/>
        <v>0</v>
      </c>
      <c r="R141" s="27">
        <f t="shared" si="62"/>
        <v>0</v>
      </c>
      <c r="S141" s="27">
        <f t="shared" si="62"/>
        <v>0</v>
      </c>
      <c r="T141" s="29">
        <f>Q141+R141+S141</f>
        <v>0</v>
      </c>
      <c r="U141" s="68" t="str">
        <f>D141</f>
        <v>台61(西側)</v>
      </c>
      <c r="V141" s="27">
        <f>IF($P141&gt;$T141,M141,Q141)</f>
        <v>0</v>
      </c>
      <c r="W141" s="27">
        <f t="shared" si="63"/>
        <v>0</v>
      </c>
      <c r="X141" s="27">
        <f t="shared" si="63"/>
        <v>0</v>
      </c>
      <c r="AA141" s="34"/>
      <c r="AB141" s="7" t="s">
        <v>16</v>
      </c>
      <c r="AC141" s="7" t="s">
        <v>38</v>
      </c>
      <c r="AD141" s="6" t="s">
        <v>15</v>
      </c>
      <c r="AE141" s="21"/>
    </row>
    <row r="142" spans="4:32">
      <c r="D142" s="37" t="s">
        <v>135</v>
      </c>
      <c r="E142" s="35">
        <v>0</v>
      </c>
      <c r="F142" s="35">
        <v>89.76</v>
      </c>
      <c r="G142" s="35">
        <v>23.44</v>
      </c>
      <c r="H142" s="35"/>
      <c r="I142" s="35">
        <v>0</v>
      </c>
      <c r="J142" s="35">
        <v>168.32000000000002</v>
      </c>
      <c r="K142" s="35">
        <v>53.339999999999996</v>
      </c>
      <c r="M142" s="27">
        <f t="shared" si="61"/>
        <v>0</v>
      </c>
      <c r="N142" s="27">
        <f t="shared" si="61"/>
        <v>123.53725112390957</v>
      </c>
      <c r="O142" s="27">
        <f t="shared" si="61"/>
        <v>32.260619054639491</v>
      </c>
      <c r="P142" s="29">
        <f>M142+N142+O142</f>
        <v>155.79787017854906</v>
      </c>
      <c r="Q142" s="27">
        <f t="shared" si="62"/>
        <v>0</v>
      </c>
      <c r="R142" s="27">
        <f t="shared" si="62"/>
        <v>231.65987198280371</v>
      </c>
      <c r="S142" s="27">
        <f t="shared" si="62"/>
        <v>73.412176637136099</v>
      </c>
      <c r="T142" s="29">
        <f>Q142+R142+S142</f>
        <v>305.07204861993978</v>
      </c>
      <c r="U142" s="68" t="str">
        <f>D142</f>
        <v>中山西路三段</v>
      </c>
      <c r="V142" s="27">
        <f>IF($P142&gt;$T142,M142,Q142)</f>
        <v>0</v>
      </c>
      <c r="W142" s="27">
        <f t="shared" si="63"/>
        <v>231.65987198280371</v>
      </c>
      <c r="X142" s="27">
        <f t="shared" si="63"/>
        <v>73.412176637136099</v>
      </c>
      <c r="Z142" s="33">
        <f>V142</f>
        <v>0</v>
      </c>
      <c r="AA142" s="34" t="s">
        <v>14</v>
      </c>
      <c r="AB142" s="71"/>
      <c r="AC142" s="72" t="str">
        <f>U143</f>
        <v>台61(西側)</v>
      </c>
      <c r="AD142" s="73"/>
      <c r="AE142" s="22" t="s">
        <v>17</v>
      </c>
      <c r="AF142" s="33">
        <f>X140</f>
        <v>0</v>
      </c>
    </row>
    <row r="143" spans="4:32">
      <c r="D143" s="37" t="s">
        <v>134</v>
      </c>
      <c r="E143" s="35">
        <v>100.6</v>
      </c>
      <c r="F143" s="35">
        <v>44.120000000000005</v>
      </c>
      <c r="G143" s="35">
        <v>53.739999999999995</v>
      </c>
      <c r="H143" s="35"/>
      <c r="I143" s="35">
        <v>94.2</v>
      </c>
      <c r="J143" s="35">
        <v>121.26</v>
      </c>
      <c r="K143" s="35">
        <v>56.3</v>
      </c>
      <c r="M143" s="27">
        <f t="shared" si="61"/>
        <v>138.45641113040665</v>
      </c>
      <c r="N143" s="27">
        <f t="shared" si="61"/>
        <v>60.722632793971599</v>
      </c>
      <c r="O143" s="27">
        <f t="shared" si="61"/>
        <v>73.962699146600926</v>
      </c>
      <c r="P143" s="29">
        <f>M143+N143+O143</f>
        <v>273.14174307097915</v>
      </c>
      <c r="Q143" s="27">
        <f t="shared" si="62"/>
        <v>129.64805097896928</v>
      </c>
      <c r="R143" s="27">
        <f t="shared" si="62"/>
        <v>166.89089874426554</v>
      </c>
      <c r="S143" s="27">
        <f t="shared" si="62"/>
        <v>77.486043207175896</v>
      </c>
      <c r="T143" s="29">
        <f>Q143+R143+S143</f>
        <v>374.02499293041075</v>
      </c>
      <c r="U143" s="68" t="str">
        <f>D143</f>
        <v>台61(西側)</v>
      </c>
      <c r="V143" s="27">
        <f>IF($P143&gt;$T143,M143,Q143)</f>
        <v>129.64805097896928</v>
      </c>
      <c r="W143" s="27">
        <f t="shared" si="63"/>
        <v>166.89089874426554</v>
      </c>
      <c r="X143" s="27">
        <f t="shared" si="63"/>
        <v>77.486043207175896</v>
      </c>
      <c r="Z143" s="33">
        <f>W142</f>
        <v>231.65987198280371</v>
      </c>
      <c r="AA143" s="34" t="s">
        <v>52</v>
      </c>
      <c r="AB143" s="74" t="str">
        <f>U142</f>
        <v>中山西路三段</v>
      </c>
      <c r="AC143" s="74"/>
      <c r="AD143" s="73" t="str">
        <f>U140</f>
        <v>(市道114)中山西路三段</v>
      </c>
      <c r="AE143" s="22" t="s">
        <v>53</v>
      </c>
      <c r="AF143" s="33">
        <f>W140</f>
        <v>146.74177489785248</v>
      </c>
    </row>
    <row r="144" spans="4:32">
      <c r="U144" s="68"/>
      <c r="Z144" s="33">
        <f>X142</f>
        <v>73.412176637136099</v>
      </c>
      <c r="AA144" s="34" t="s">
        <v>15</v>
      </c>
      <c r="AB144" s="74"/>
      <c r="AC144" s="74" t="str">
        <f>U141</f>
        <v>台61(西側)</v>
      </c>
      <c r="AD144" s="73"/>
      <c r="AE144" s="22" t="s">
        <v>16</v>
      </c>
      <c r="AF144" s="33">
        <f>V140</f>
        <v>116.46303687728641</v>
      </c>
    </row>
    <row r="145" spans="4:40">
      <c r="U145" s="68"/>
      <c r="AA145" s="34"/>
      <c r="AB145" s="8" t="s">
        <v>17</v>
      </c>
      <c r="AC145" s="8" t="s">
        <v>39</v>
      </c>
      <c r="AD145" s="6" t="s">
        <v>14</v>
      </c>
      <c r="AE145" s="21"/>
    </row>
    <row r="146" spans="4:40">
      <c r="U146" s="68"/>
      <c r="AB146" s="33">
        <f>V141</f>
        <v>0</v>
      </c>
      <c r="AC146" s="33">
        <f>W141</f>
        <v>0</v>
      </c>
      <c r="AD146" s="33">
        <f>X141</f>
        <v>0</v>
      </c>
    </row>
    <row r="147" spans="4:40">
      <c r="E147" s="184" t="s">
        <v>70</v>
      </c>
      <c r="F147" s="185"/>
      <c r="G147" s="185"/>
      <c r="H147" s="185"/>
      <c r="I147" s="185"/>
      <c r="J147" s="185"/>
      <c r="K147" s="185"/>
      <c r="M147" s="182" t="str">
        <f>E147</f>
        <v>台61/市道114(東側)</v>
      </c>
      <c r="N147" s="183"/>
      <c r="O147" s="183"/>
      <c r="P147" s="183"/>
      <c r="Q147" s="183"/>
      <c r="R147" s="183"/>
      <c r="S147" s="183"/>
      <c r="T147" s="183"/>
      <c r="U147" s="68"/>
      <c r="V147" s="182" t="str">
        <f>M147</f>
        <v>台61/市道114(東側)</v>
      </c>
      <c r="W147" s="183"/>
      <c r="X147" s="183"/>
      <c r="Z147" s="17"/>
      <c r="AA147" s="182" t="str">
        <f>V147</f>
        <v>台61/市道114(東側)</v>
      </c>
      <c r="AB147" s="183"/>
      <c r="AC147" s="183"/>
      <c r="AD147" s="183"/>
      <c r="AE147" s="183"/>
    </row>
    <row r="148" spans="4:40">
      <c r="D148" s="37" t="s">
        <v>133</v>
      </c>
      <c r="E148" s="35">
        <v>0</v>
      </c>
      <c r="F148" s="35">
        <v>156.68</v>
      </c>
      <c r="G148" s="35">
        <v>114.89999999999999</v>
      </c>
      <c r="H148" s="35"/>
      <c r="I148" s="35">
        <v>0</v>
      </c>
      <c r="J148" s="35">
        <v>165.18</v>
      </c>
      <c r="K148" s="35">
        <v>101.5</v>
      </c>
      <c r="M148" s="27">
        <f t="shared" ref="M148:O151" si="64">E148*(1+$B$5)^($B$4-$B$3)</f>
        <v>0</v>
      </c>
      <c r="N148" s="27">
        <f t="shared" si="64"/>
        <v>215.6396669573769</v>
      </c>
      <c r="O148" s="27">
        <f t="shared" si="64"/>
        <v>158.1375908437746</v>
      </c>
      <c r="P148" s="29">
        <f>M148+N148+O148</f>
        <v>373.77725780115151</v>
      </c>
      <c r="Q148" s="27">
        <f t="shared" ref="Q148:S151" si="65">I148*(1+$B$5)^($B$4-$B$3)</f>
        <v>0</v>
      </c>
      <c r="R148" s="27">
        <f t="shared" si="65"/>
        <v>227.33827028350473</v>
      </c>
      <c r="S148" s="27">
        <f t="shared" si="65"/>
        <v>139.69508677670257</v>
      </c>
      <c r="T148" s="29">
        <f>Q148+R148+S148</f>
        <v>367.03335706020732</v>
      </c>
      <c r="U148" s="68" t="str">
        <f>D148</f>
        <v>(市道114)中山西路三段</v>
      </c>
      <c r="V148" s="27">
        <f>IF($P148&gt;$T148,M148,Q148)</f>
        <v>0</v>
      </c>
      <c r="W148" s="27">
        <f t="shared" ref="W148:X151" si="66">IF($P148&gt;$T148,N148,R148)</f>
        <v>215.6396669573769</v>
      </c>
      <c r="X148" s="27">
        <f t="shared" si="66"/>
        <v>158.1375908437746</v>
      </c>
      <c r="AB148" s="33">
        <f>X151</f>
        <v>0</v>
      </c>
      <c r="AC148" s="33">
        <f>W151</f>
        <v>0</v>
      </c>
      <c r="AD148" s="33">
        <f>V151</f>
        <v>0</v>
      </c>
    </row>
    <row r="149" spans="4:40">
      <c r="D149" s="37" t="s">
        <v>136</v>
      </c>
      <c r="E149" s="35">
        <v>28</v>
      </c>
      <c r="F149" s="35">
        <v>119.28</v>
      </c>
      <c r="G149" s="35">
        <v>72.460000000000008</v>
      </c>
      <c r="H149" s="35"/>
      <c r="I149" s="35">
        <v>27.42</v>
      </c>
      <c r="J149" s="35">
        <v>67.14</v>
      </c>
      <c r="K149" s="35">
        <v>90.28</v>
      </c>
      <c r="M149" s="27">
        <f t="shared" si="64"/>
        <v>38.536575662538638</v>
      </c>
      <c r="N149" s="27">
        <f t="shared" si="64"/>
        <v>164.16581232241458</v>
      </c>
      <c r="O149" s="27">
        <f t="shared" si="64"/>
        <v>99.727152589555345</v>
      </c>
      <c r="P149" s="29">
        <f>M149+N149+O149</f>
        <v>302.42954057450856</v>
      </c>
      <c r="Q149" s="27">
        <f t="shared" si="65"/>
        <v>37.738318023814621</v>
      </c>
      <c r="R149" s="27">
        <f t="shared" si="65"/>
        <v>92.405203213673005</v>
      </c>
      <c r="S149" s="27">
        <f t="shared" si="65"/>
        <v>124.25293038621386</v>
      </c>
      <c r="T149" s="29">
        <f>Q149+R149+S149</f>
        <v>254.39645162370147</v>
      </c>
      <c r="U149" s="68" t="str">
        <f>D149</f>
        <v>台61(東側)</v>
      </c>
      <c r="V149" s="27">
        <f>IF($P149&gt;$T149,M149,Q149)</f>
        <v>38.536575662538638</v>
      </c>
      <c r="W149" s="27">
        <f t="shared" si="66"/>
        <v>164.16581232241458</v>
      </c>
      <c r="X149" s="27">
        <f t="shared" si="66"/>
        <v>99.727152589555345</v>
      </c>
      <c r="AA149" s="34"/>
      <c r="AB149" s="7" t="s">
        <v>16</v>
      </c>
      <c r="AC149" s="7" t="s">
        <v>38</v>
      </c>
      <c r="AD149" s="6" t="s">
        <v>15</v>
      </c>
      <c r="AE149" s="21"/>
    </row>
    <row r="150" spans="4:40">
      <c r="D150" s="37" t="s">
        <v>135</v>
      </c>
      <c r="E150" s="35">
        <v>24</v>
      </c>
      <c r="F150" s="35">
        <v>163.04</v>
      </c>
      <c r="G150" s="35">
        <v>0</v>
      </c>
      <c r="H150" s="35"/>
      <c r="I150" s="35">
        <v>53.42</v>
      </c>
      <c r="J150" s="35">
        <v>201.77999999999997</v>
      </c>
      <c r="K150" s="35">
        <v>0</v>
      </c>
      <c r="M150" s="27">
        <f t="shared" si="64"/>
        <v>33.031350567890257</v>
      </c>
      <c r="N150" s="27">
        <f t="shared" si="64"/>
        <v>224.39297485786781</v>
      </c>
      <c r="O150" s="27">
        <f t="shared" si="64"/>
        <v>0</v>
      </c>
      <c r="P150" s="29">
        <f>M150+N150+O150</f>
        <v>257.42432542575807</v>
      </c>
      <c r="Q150" s="27">
        <f t="shared" si="65"/>
        <v>73.522281139029076</v>
      </c>
      <c r="R150" s="27">
        <f t="shared" si="65"/>
        <v>277.71107989953731</v>
      </c>
      <c r="S150" s="27">
        <f t="shared" si="65"/>
        <v>0</v>
      </c>
      <c r="T150" s="29">
        <f>Q150+R150+S150</f>
        <v>351.23336103856639</v>
      </c>
      <c r="U150" s="68" t="str">
        <f>D150</f>
        <v>中山西路三段</v>
      </c>
      <c r="V150" s="27">
        <f>IF($P150&gt;$T150,M150,Q150)</f>
        <v>73.522281139029076</v>
      </c>
      <c r="W150" s="27">
        <f t="shared" si="66"/>
        <v>277.71107989953731</v>
      </c>
      <c r="X150" s="27">
        <f t="shared" si="66"/>
        <v>0</v>
      </c>
      <c r="Z150" s="33">
        <f>V150</f>
        <v>73.522281139029076</v>
      </c>
      <c r="AA150" s="34" t="s">
        <v>14</v>
      </c>
      <c r="AB150" s="71"/>
      <c r="AC150" s="72" t="str">
        <f>U151</f>
        <v>台61(東側)</v>
      </c>
      <c r="AD150" s="73"/>
      <c r="AE150" s="22" t="s">
        <v>17</v>
      </c>
      <c r="AF150" s="33">
        <f>X148</f>
        <v>158.1375908437746</v>
      </c>
    </row>
    <row r="151" spans="4:40">
      <c r="D151" s="37" t="s">
        <v>136</v>
      </c>
      <c r="E151" s="35">
        <v>0</v>
      </c>
      <c r="F151" s="35">
        <v>0</v>
      </c>
      <c r="G151" s="35">
        <v>0</v>
      </c>
      <c r="H151" s="35"/>
      <c r="I151" s="35">
        <v>0</v>
      </c>
      <c r="J151" s="35">
        <v>0</v>
      </c>
      <c r="K151" s="35">
        <v>0</v>
      </c>
      <c r="M151" s="27">
        <f t="shared" si="64"/>
        <v>0</v>
      </c>
      <c r="N151" s="27">
        <f t="shared" si="64"/>
        <v>0</v>
      </c>
      <c r="O151" s="27">
        <f t="shared" si="64"/>
        <v>0</v>
      </c>
      <c r="P151" s="29">
        <f>M151+N151+O151</f>
        <v>0</v>
      </c>
      <c r="Q151" s="27">
        <f t="shared" si="65"/>
        <v>0</v>
      </c>
      <c r="R151" s="27">
        <f t="shared" si="65"/>
        <v>0</v>
      </c>
      <c r="S151" s="27">
        <f t="shared" si="65"/>
        <v>0</v>
      </c>
      <c r="T151" s="29">
        <f>Q151+R151+S151</f>
        <v>0</v>
      </c>
      <c r="U151" s="68" t="str">
        <f>D151</f>
        <v>台61(東側)</v>
      </c>
      <c r="V151" s="27">
        <f>IF($P151&gt;$T151,M151,Q151)</f>
        <v>0</v>
      </c>
      <c r="W151" s="27">
        <f t="shared" si="66"/>
        <v>0</v>
      </c>
      <c r="X151" s="27">
        <f t="shared" si="66"/>
        <v>0</v>
      </c>
      <c r="Z151" s="33">
        <f>W150</f>
        <v>277.71107989953731</v>
      </c>
      <c r="AA151" s="34" t="s">
        <v>52</v>
      </c>
      <c r="AB151" s="74" t="str">
        <f>U150</f>
        <v>中山西路三段</v>
      </c>
      <c r="AC151" s="74"/>
      <c r="AD151" s="73" t="str">
        <f>U148</f>
        <v>(市道114)中山西路三段</v>
      </c>
      <c r="AE151" s="22" t="s">
        <v>53</v>
      </c>
      <c r="AF151" s="33">
        <f>W148</f>
        <v>215.6396669573769</v>
      </c>
    </row>
    <row r="152" spans="4:40">
      <c r="U152" s="68"/>
      <c r="Z152" s="33">
        <f>X150</f>
        <v>0</v>
      </c>
      <c r="AA152" s="34" t="s">
        <v>15</v>
      </c>
      <c r="AB152" s="74"/>
      <c r="AC152" s="74" t="str">
        <f>U149</f>
        <v>台61(東側)</v>
      </c>
      <c r="AD152" s="73"/>
      <c r="AE152" s="22" t="s">
        <v>16</v>
      </c>
      <c r="AF152" s="33">
        <f>V148</f>
        <v>0</v>
      </c>
    </row>
    <row r="153" spans="4:40">
      <c r="U153" s="68"/>
      <c r="AA153" s="34"/>
      <c r="AB153" s="8" t="s">
        <v>17</v>
      </c>
      <c r="AC153" s="8" t="s">
        <v>39</v>
      </c>
      <c r="AD153" s="6" t="s">
        <v>14</v>
      </c>
      <c r="AE153" s="21"/>
    </row>
    <row r="154" spans="4:40">
      <c r="U154" s="68"/>
      <c r="AB154" s="33">
        <f>V149</f>
        <v>38.536575662538638</v>
      </c>
      <c r="AC154" s="33">
        <f>W149</f>
        <v>164.16581232241458</v>
      </c>
      <c r="AD154" s="33">
        <f>X149</f>
        <v>99.727152589555345</v>
      </c>
    </row>
    <row r="155" spans="4:40">
      <c r="E155" s="184" t="s">
        <v>71</v>
      </c>
      <c r="F155" s="185"/>
      <c r="G155" s="185"/>
      <c r="H155" s="185"/>
      <c r="I155" s="185"/>
      <c r="J155" s="185"/>
      <c r="K155" s="185"/>
      <c r="M155" s="182" t="str">
        <f>E155</f>
        <v>台15/市道114</v>
      </c>
      <c r="N155" s="183"/>
      <c r="O155" s="183"/>
      <c r="P155" s="183"/>
      <c r="Q155" s="183"/>
      <c r="R155" s="183"/>
      <c r="S155" s="183"/>
      <c r="T155" s="183"/>
      <c r="U155" s="68"/>
      <c r="V155" s="182" t="str">
        <f>M155</f>
        <v>台15/市道114</v>
      </c>
      <c r="W155" s="183"/>
      <c r="X155" s="183"/>
      <c r="Z155" s="17"/>
      <c r="AA155" s="182" t="str">
        <f>V155</f>
        <v>台15/市道114</v>
      </c>
      <c r="AB155" s="183"/>
      <c r="AC155" s="183"/>
      <c r="AD155" s="183"/>
      <c r="AE155" s="183"/>
      <c r="AH155" s="17"/>
      <c r="AI155" s="182" t="str">
        <f>AA155&amp;"(轉置)"</f>
        <v>台15/市道114(轉置)</v>
      </c>
      <c r="AJ155" s="183"/>
      <c r="AK155" s="183"/>
      <c r="AL155" s="183"/>
      <c r="AM155" s="183"/>
    </row>
    <row r="156" spans="4:40">
      <c r="D156" s="37" t="s">
        <v>133</v>
      </c>
      <c r="E156" s="35">
        <v>67.599999999999994</v>
      </c>
      <c r="F156" s="35">
        <v>214.54</v>
      </c>
      <c r="G156" s="35">
        <v>42.82</v>
      </c>
      <c r="H156" s="35"/>
      <c r="I156" s="35">
        <v>69.48</v>
      </c>
      <c r="J156" s="35">
        <v>228.45999999999998</v>
      </c>
      <c r="K156" s="35">
        <v>52.4</v>
      </c>
      <c r="M156" s="27">
        <f t="shared" ref="M156:O159" si="67">E156*(1+$B$5)^($B$4-$B$3)</f>
        <v>93.03830409955755</v>
      </c>
      <c r="N156" s="27">
        <f t="shared" si="67"/>
        <v>295.27274795146565</v>
      </c>
      <c r="O156" s="27">
        <f t="shared" si="67"/>
        <v>58.933434638210869</v>
      </c>
      <c r="P156" s="29">
        <f>M156+N156+O156</f>
        <v>447.24448668923407</v>
      </c>
      <c r="Q156" s="27">
        <f t="shared" ref="Q156:S159" si="68">I156*(1+$B$5)^($B$4-$B$3)</f>
        <v>95.625759894042304</v>
      </c>
      <c r="R156" s="27">
        <f t="shared" si="68"/>
        <v>314.430931280842</v>
      </c>
      <c r="S156" s="27">
        <f t="shared" si="68"/>
        <v>72.118448739893736</v>
      </c>
      <c r="T156" s="29">
        <f>Q156+R156+S156</f>
        <v>482.17513991477801</v>
      </c>
      <c r="U156" s="68" t="str">
        <f t="shared" ref="U156:U167" si="69">D156</f>
        <v>(市道114)中山西路三段</v>
      </c>
      <c r="V156" s="27">
        <f>IF($P156&gt;$T156,M156,Q156)</f>
        <v>95.625759894042304</v>
      </c>
      <c r="W156" s="27">
        <f t="shared" ref="W156:X159" si="70">IF($P156&gt;$T156,N156,R156)</f>
        <v>314.430931280842</v>
      </c>
      <c r="X156" s="27">
        <f t="shared" si="70"/>
        <v>72.118448739893736</v>
      </c>
      <c r="AB156" s="33">
        <f>X159</f>
        <v>49.849813232041051</v>
      </c>
      <c r="AC156" s="33">
        <f>W159</f>
        <v>188.38880273886744</v>
      </c>
      <c r="AD156" s="33">
        <f>V159</f>
        <v>48.528559209325437</v>
      </c>
      <c r="AJ156" s="52">
        <f>Z160</f>
        <v>48.528559209325437</v>
      </c>
      <c r="AK156" s="52">
        <f>Z159</f>
        <v>318.39469334898888</v>
      </c>
      <c r="AL156" s="52">
        <f>Z158</f>
        <v>22.598949013531588</v>
      </c>
    </row>
    <row r="157" spans="4:40">
      <c r="D157" s="37" t="s">
        <v>137</v>
      </c>
      <c r="E157" s="35">
        <v>34</v>
      </c>
      <c r="F157" s="35">
        <v>112.36</v>
      </c>
      <c r="G157" s="35">
        <v>90</v>
      </c>
      <c r="H157" s="35"/>
      <c r="I157" s="35">
        <v>33.4</v>
      </c>
      <c r="J157" s="35">
        <v>97.58</v>
      </c>
      <c r="K157" s="35">
        <v>112.66</v>
      </c>
      <c r="M157" s="27">
        <f t="shared" si="67"/>
        <v>46.794413304511203</v>
      </c>
      <c r="N157" s="27">
        <f t="shared" si="67"/>
        <v>154.64177290867289</v>
      </c>
      <c r="O157" s="27">
        <f t="shared" si="67"/>
        <v>123.86756462958847</v>
      </c>
      <c r="P157" s="29">
        <f>M157+N157+O157</f>
        <v>325.30375084277256</v>
      </c>
      <c r="Q157" s="27">
        <f t="shared" si="68"/>
        <v>45.968629540313941</v>
      </c>
      <c r="R157" s="27">
        <f t="shared" si="68"/>
        <v>134.29996618394713</v>
      </c>
      <c r="S157" s="27">
        <f t="shared" si="68"/>
        <v>155.05466479077151</v>
      </c>
      <c r="T157" s="29">
        <f>Q157+R157+S157</f>
        <v>335.32326051503259</v>
      </c>
      <c r="U157" s="68" t="str">
        <f t="shared" si="69"/>
        <v>(台15)文化路二段</v>
      </c>
      <c r="V157" s="27">
        <f>IF($P157&gt;$T157,M157,Q157)</f>
        <v>45.968629540313941</v>
      </c>
      <c r="W157" s="27">
        <f t="shared" si="70"/>
        <v>134.29996618394713</v>
      </c>
      <c r="X157" s="27">
        <f t="shared" si="70"/>
        <v>155.05466479077151</v>
      </c>
      <c r="AA157" s="34"/>
      <c r="AB157" s="7" t="s">
        <v>16</v>
      </c>
      <c r="AC157" s="7" t="s">
        <v>38</v>
      </c>
      <c r="AD157" s="6" t="s">
        <v>15</v>
      </c>
      <c r="AE157" s="21"/>
      <c r="AI157" s="34"/>
      <c r="AJ157" s="7" t="s">
        <v>16</v>
      </c>
      <c r="AK157" s="7" t="s">
        <v>38</v>
      </c>
      <c r="AL157" s="6" t="s">
        <v>15</v>
      </c>
      <c r="AM157" s="21"/>
    </row>
    <row r="158" spans="4:40">
      <c r="D158" s="37" t="s">
        <v>135</v>
      </c>
      <c r="E158" s="35">
        <v>16.420000000000002</v>
      </c>
      <c r="F158" s="35">
        <v>231.34</v>
      </c>
      <c r="G158" s="35">
        <v>35.26</v>
      </c>
      <c r="H158" s="35"/>
      <c r="I158" s="35">
        <v>12.22</v>
      </c>
      <c r="J158" s="35">
        <v>195.12</v>
      </c>
      <c r="K158" s="35">
        <v>35.86</v>
      </c>
      <c r="M158" s="27">
        <f t="shared" si="67"/>
        <v>22.598949013531588</v>
      </c>
      <c r="N158" s="27">
        <f t="shared" si="67"/>
        <v>318.39469334898888</v>
      </c>
      <c r="O158" s="27">
        <f t="shared" si="67"/>
        <v>48.528559209325437</v>
      </c>
      <c r="P158" s="29">
        <f>M158+N158+O158</f>
        <v>389.52220157184593</v>
      </c>
      <c r="Q158" s="27">
        <f t="shared" si="68"/>
        <v>16.81846266415079</v>
      </c>
      <c r="R158" s="27">
        <f t="shared" si="68"/>
        <v>268.54488011694781</v>
      </c>
      <c r="S158" s="27">
        <f t="shared" si="68"/>
        <v>49.354342973522698</v>
      </c>
      <c r="T158" s="29">
        <f>Q158+R158+S158</f>
        <v>334.7176857546213</v>
      </c>
      <c r="U158" s="68" t="str">
        <f t="shared" si="69"/>
        <v>中山西路三段</v>
      </c>
      <c r="V158" s="27">
        <f>IF($P158&gt;$T158,M158,Q158)</f>
        <v>22.598949013531588</v>
      </c>
      <c r="W158" s="27">
        <f t="shared" si="70"/>
        <v>318.39469334898888</v>
      </c>
      <c r="X158" s="27">
        <f t="shared" si="70"/>
        <v>48.528559209325437</v>
      </c>
      <c r="Z158" s="33">
        <f>V158</f>
        <v>22.598949013531588</v>
      </c>
      <c r="AA158" s="34" t="s">
        <v>14</v>
      </c>
      <c r="AB158" s="71"/>
      <c r="AC158" s="72" t="str">
        <f>U159</f>
        <v>文化路三段</v>
      </c>
      <c r="AD158" s="73"/>
      <c r="AE158" s="22" t="s">
        <v>17</v>
      </c>
      <c r="AF158" s="33">
        <f>X156</f>
        <v>72.118448739893736</v>
      </c>
      <c r="AH158" s="33">
        <f>AB162</f>
        <v>45.968629540313941</v>
      </c>
      <c r="AI158" s="34" t="s">
        <v>14</v>
      </c>
      <c r="AJ158" s="71"/>
      <c r="AK158" s="72" t="str">
        <f>AD159</f>
        <v>(市道114)中山西路三段</v>
      </c>
      <c r="AL158" s="73"/>
      <c r="AM158" s="22" t="s">
        <v>17</v>
      </c>
      <c r="AN158" s="91">
        <f>AB156</f>
        <v>49.849813232041051</v>
      </c>
    </row>
    <row r="159" spans="4:40">
      <c r="D159" s="37" t="s">
        <v>138</v>
      </c>
      <c r="E159" s="35">
        <v>48.26</v>
      </c>
      <c r="F159" s="35">
        <v>108.42</v>
      </c>
      <c r="G159" s="35">
        <v>33.74</v>
      </c>
      <c r="H159" s="35"/>
      <c r="I159" s="35">
        <v>35.26</v>
      </c>
      <c r="J159" s="35">
        <v>136.88</v>
      </c>
      <c r="K159" s="35">
        <v>36.22</v>
      </c>
      <c r="M159" s="27">
        <f t="shared" si="67"/>
        <v>66.42054076693266</v>
      </c>
      <c r="N159" s="27">
        <f t="shared" si="67"/>
        <v>149.21912619044426</v>
      </c>
      <c r="O159" s="27">
        <f t="shared" si="67"/>
        <v>46.436573673359057</v>
      </c>
      <c r="P159" s="29">
        <f>M159+N159+O159</f>
        <v>262.07624063073598</v>
      </c>
      <c r="Q159" s="27">
        <f t="shared" si="68"/>
        <v>48.528559209325437</v>
      </c>
      <c r="R159" s="27">
        <f t="shared" si="68"/>
        <v>188.38880273886744</v>
      </c>
      <c r="S159" s="27">
        <f t="shared" si="68"/>
        <v>49.849813232041051</v>
      </c>
      <c r="T159" s="29">
        <f>Q159+R159+S159</f>
        <v>286.76717518023395</v>
      </c>
      <c r="U159" s="68" t="str">
        <f t="shared" si="69"/>
        <v>文化路三段</v>
      </c>
      <c r="V159" s="27">
        <f>IF($P159&gt;$T159,M159,Q159)</f>
        <v>48.528559209325437</v>
      </c>
      <c r="W159" s="27">
        <f t="shared" si="70"/>
        <v>188.38880273886744</v>
      </c>
      <c r="X159" s="27">
        <f t="shared" si="70"/>
        <v>49.849813232041051</v>
      </c>
      <c r="Z159" s="33">
        <f>W158</f>
        <v>318.39469334898888</v>
      </c>
      <c r="AA159" s="34" t="s">
        <v>52</v>
      </c>
      <c r="AB159" s="74" t="str">
        <f>U158</f>
        <v>中山西路三段</v>
      </c>
      <c r="AC159" s="74"/>
      <c r="AD159" s="73" t="str">
        <f>U156</f>
        <v>(市道114)中山西路三段</v>
      </c>
      <c r="AE159" s="22" t="s">
        <v>53</v>
      </c>
      <c r="AF159" s="33">
        <f>W156</f>
        <v>314.430931280842</v>
      </c>
      <c r="AH159" s="33">
        <f>AC162</f>
        <v>134.29996618394713</v>
      </c>
      <c r="AI159" s="34" t="s">
        <v>52</v>
      </c>
      <c r="AJ159" s="74" t="str">
        <f>AC160</f>
        <v>(台15)文化路二段</v>
      </c>
      <c r="AK159" s="74"/>
      <c r="AL159" s="73" t="str">
        <f>AC160</f>
        <v>(台15)文化路二段</v>
      </c>
      <c r="AM159" s="22" t="s">
        <v>53</v>
      </c>
      <c r="AN159" s="91">
        <f>AC156</f>
        <v>188.38880273886744</v>
      </c>
    </row>
    <row r="160" spans="4:40">
      <c r="U160" s="68"/>
      <c r="Z160" s="33">
        <f>X158</f>
        <v>48.528559209325437</v>
      </c>
      <c r="AA160" s="34" t="s">
        <v>15</v>
      </c>
      <c r="AB160" s="74"/>
      <c r="AC160" s="74" t="str">
        <f>U157</f>
        <v>(台15)文化路二段</v>
      </c>
      <c r="AD160" s="73"/>
      <c r="AE160" s="22" t="s">
        <v>16</v>
      </c>
      <c r="AF160" s="33">
        <f>V156</f>
        <v>95.625759894042304</v>
      </c>
      <c r="AH160" s="33">
        <f>AD162</f>
        <v>155.05466479077151</v>
      </c>
      <c r="AI160" s="34" t="s">
        <v>15</v>
      </c>
      <c r="AJ160" s="74"/>
      <c r="AK160" s="74" t="str">
        <f>AD159</f>
        <v>(市道114)中山西路三段</v>
      </c>
      <c r="AL160" s="73"/>
      <c r="AM160" s="22" t="s">
        <v>16</v>
      </c>
      <c r="AN160" s="91">
        <f>AD156</f>
        <v>48.528559209325437</v>
      </c>
    </row>
    <row r="161" spans="4:39">
      <c r="U161" s="68"/>
      <c r="AA161" s="34"/>
      <c r="AB161" s="8" t="s">
        <v>17</v>
      </c>
      <c r="AC161" s="8" t="s">
        <v>39</v>
      </c>
      <c r="AD161" s="6" t="s">
        <v>14</v>
      </c>
      <c r="AE161" s="21"/>
      <c r="AI161" s="34"/>
      <c r="AJ161" s="8" t="s">
        <v>17</v>
      </c>
      <c r="AK161" s="8" t="s">
        <v>39</v>
      </c>
      <c r="AL161" s="6" t="s">
        <v>14</v>
      </c>
      <c r="AM161" s="21"/>
    </row>
    <row r="162" spans="4:39">
      <c r="U162" s="68"/>
      <c r="AB162" s="33">
        <f>V157</f>
        <v>45.968629540313941</v>
      </c>
      <c r="AC162" s="33">
        <f>W157</f>
        <v>134.29996618394713</v>
      </c>
      <c r="AD162" s="33">
        <f>X157</f>
        <v>155.05466479077151</v>
      </c>
      <c r="AJ162" s="52">
        <f>AF160</f>
        <v>95.625759894042304</v>
      </c>
      <c r="AK162" s="52">
        <f>AF159</f>
        <v>314.430931280842</v>
      </c>
      <c r="AL162" s="52">
        <f>AF158</f>
        <v>72.118448739893736</v>
      </c>
    </row>
    <row r="163" spans="4:39">
      <c r="E163" s="184" t="s">
        <v>72</v>
      </c>
      <c r="F163" s="185"/>
      <c r="G163" s="185"/>
      <c r="H163" s="185"/>
      <c r="I163" s="185"/>
      <c r="J163" s="185"/>
      <c r="K163" s="185"/>
      <c r="M163" s="182" t="str">
        <f>E163</f>
        <v>市道114/桃93/桃104</v>
      </c>
      <c r="N163" s="183"/>
      <c r="O163" s="183"/>
      <c r="P163" s="183"/>
      <c r="Q163" s="183"/>
      <c r="R163" s="183"/>
      <c r="S163" s="183"/>
      <c r="T163" s="183"/>
      <c r="V163" s="182" t="str">
        <f>M163</f>
        <v>市道114/桃93/桃104</v>
      </c>
      <c r="W163" s="183"/>
      <c r="X163" s="183"/>
      <c r="Z163" s="17"/>
      <c r="AA163" s="182" t="str">
        <f>V163</f>
        <v>市道114/桃93/桃104</v>
      </c>
      <c r="AB163" s="183"/>
      <c r="AC163" s="183"/>
      <c r="AD163" s="183"/>
      <c r="AE163" s="183"/>
    </row>
    <row r="164" spans="4:39">
      <c r="D164" s="37" t="s">
        <v>139</v>
      </c>
      <c r="E164" s="35">
        <v>118.14</v>
      </c>
      <c r="F164" s="35">
        <v>508.32</v>
      </c>
      <c r="G164" s="35">
        <v>189.64</v>
      </c>
      <c r="H164" s="35"/>
      <c r="I164" s="35">
        <v>97.660000000000011</v>
      </c>
      <c r="J164" s="35">
        <v>404.53999999999996</v>
      </c>
      <c r="K164" s="35">
        <v>136.1</v>
      </c>
      <c r="M164" s="27">
        <f t="shared" ref="M164:O167" si="71">E164*(1+$B$5)^($B$4-$B$3)</f>
        <v>162.59682317043979</v>
      </c>
      <c r="N164" s="27">
        <f t="shared" si="71"/>
        <v>699.60400502791572</v>
      </c>
      <c r="O164" s="27">
        <f t="shared" si="71"/>
        <v>261.0027217372795</v>
      </c>
      <c r="P164" s="29">
        <f>M164+N164+O164</f>
        <v>1123.203549935635</v>
      </c>
      <c r="Q164" s="27">
        <f t="shared" ref="Q164:S167" si="72">I164*(1+$B$5)^($B$4-$B$3)</f>
        <v>134.41007068584014</v>
      </c>
      <c r="R164" s="27">
        <f t="shared" si="72"/>
        <v>556.77093994726351</v>
      </c>
      <c r="S164" s="27">
        <f t="shared" si="72"/>
        <v>187.31528384541102</v>
      </c>
      <c r="T164" s="29">
        <f>Q164+R164+S164</f>
        <v>878.49629447851464</v>
      </c>
      <c r="U164" s="68" t="str">
        <f t="shared" si="69"/>
        <v>(市道114)中山西路一段</v>
      </c>
      <c r="V164" s="27">
        <f>IF($P164&gt;$T164,M164,Q164)</f>
        <v>162.59682317043979</v>
      </c>
      <c r="W164" s="27">
        <f t="shared" ref="W164:X167" si="73">IF($P164&gt;$T164,N164,R164)</f>
        <v>699.60400502791572</v>
      </c>
      <c r="X164" s="27">
        <f t="shared" si="73"/>
        <v>261.0027217372795</v>
      </c>
      <c r="AB164" s="33">
        <f>X167</f>
        <v>4.7069674559243619</v>
      </c>
      <c r="AC164" s="33">
        <f>W167</f>
        <v>74.788482910798194</v>
      </c>
      <c r="AD164" s="33">
        <f>V167</f>
        <v>231.02677109691911</v>
      </c>
    </row>
    <row r="165" spans="4:39">
      <c r="D165" s="37" t="s">
        <v>140</v>
      </c>
      <c r="E165" s="35">
        <v>16.28</v>
      </c>
      <c r="F165" s="35">
        <v>73.12</v>
      </c>
      <c r="G165" s="35">
        <v>140.20000000000002</v>
      </c>
      <c r="H165" s="35"/>
      <c r="I165" s="35">
        <v>18.740000000000002</v>
      </c>
      <c r="J165" s="35">
        <v>45.32</v>
      </c>
      <c r="K165" s="35">
        <v>117.34</v>
      </c>
      <c r="M165" s="27">
        <f t="shared" si="71"/>
        <v>22.406266135218893</v>
      </c>
      <c r="N165" s="27">
        <f t="shared" si="71"/>
        <v>100.63551473017233</v>
      </c>
      <c r="O165" s="27">
        <f t="shared" si="71"/>
        <v>192.95813956742563</v>
      </c>
      <c r="P165" s="29">
        <f>M165+N165+O165</f>
        <v>315.99992043281685</v>
      </c>
      <c r="Q165" s="27">
        <f t="shared" si="72"/>
        <v>25.791979568427646</v>
      </c>
      <c r="R165" s="27">
        <f t="shared" si="72"/>
        <v>62.374200322366107</v>
      </c>
      <c r="S165" s="27">
        <f t="shared" si="72"/>
        <v>161.49577815151014</v>
      </c>
      <c r="T165" s="29">
        <f>Q165+R165+S165</f>
        <v>249.66195804230389</v>
      </c>
      <c r="U165" s="68" t="str">
        <f t="shared" si="69"/>
        <v>(桃104)東福路</v>
      </c>
      <c r="V165" s="27">
        <f>IF($P165&gt;$T165,M165,Q165)</f>
        <v>22.406266135218893</v>
      </c>
      <c r="W165" s="27">
        <f t="shared" si="73"/>
        <v>100.63551473017233</v>
      </c>
      <c r="X165" s="27">
        <f t="shared" si="73"/>
        <v>192.95813956742563</v>
      </c>
      <c r="AA165" s="34"/>
      <c r="AB165" s="7" t="s">
        <v>16</v>
      </c>
      <c r="AC165" s="7" t="s">
        <v>38</v>
      </c>
      <c r="AD165" s="6" t="s">
        <v>15</v>
      </c>
      <c r="AE165" s="21"/>
    </row>
    <row r="166" spans="4:39">
      <c r="D166" s="37" t="s">
        <v>141</v>
      </c>
      <c r="E166" s="35">
        <v>2.84</v>
      </c>
      <c r="F166" s="35">
        <v>438.88</v>
      </c>
      <c r="G166" s="35">
        <v>18.96</v>
      </c>
      <c r="H166" s="35"/>
      <c r="I166" s="35">
        <v>6</v>
      </c>
      <c r="J166" s="35">
        <v>491.47999999999996</v>
      </c>
      <c r="K166" s="35">
        <v>11.26</v>
      </c>
      <c r="M166" s="27">
        <f t="shared" si="71"/>
        <v>3.9087098172003469</v>
      </c>
      <c r="N166" s="27">
        <f t="shared" si="71"/>
        <v>604.03329738481989</v>
      </c>
      <c r="O166" s="27">
        <f t="shared" si="71"/>
        <v>26.094766948633307</v>
      </c>
      <c r="P166" s="29">
        <f>M166+N166+O166</f>
        <v>634.03677415065351</v>
      </c>
      <c r="Q166" s="27">
        <f t="shared" si="72"/>
        <v>8.2578376419725643</v>
      </c>
      <c r="R166" s="27">
        <f t="shared" si="72"/>
        <v>676.42700737944597</v>
      </c>
      <c r="S166" s="27">
        <f t="shared" si="72"/>
        <v>15.497208641435179</v>
      </c>
      <c r="T166" s="29">
        <f>Q166+R166+S166</f>
        <v>700.1820536628536</v>
      </c>
      <c r="U166" s="68" t="str">
        <f t="shared" si="69"/>
        <v>中山西路一段</v>
      </c>
      <c r="V166" s="27">
        <f>IF($P166&gt;$T166,M166,Q166)</f>
        <v>8.2578376419725643</v>
      </c>
      <c r="W166" s="27">
        <f t="shared" si="73"/>
        <v>676.42700737944597</v>
      </c>
      <c r="X166" s="27">
        <f t="shared" si="73"/>
        <v>15.497208641435179</v>
      </c>
      <c r="Z166" s="33">
        <f>V166</f>
        <v>8.2578376419725643</v>
      </c>
      <c r="AA166" s="34" t="s">
        <v>14</v>
      </c>
      <c r="AB166" s="71"/>
      <c r="AC166" s="72" t="str">
        <f>U167</f>
        <v>(桃93)東興路一段</v>
      </c>
      <c r="AD166" s="73"/>
      <c r="AE166" s="22" t="s">
        <v>17</v>
      </c>
      <c r="AF166" s="33">
        <f>X164</f>
        <v>261.0027217372795</v>
      </c>
    </row>
    <row r="167" spans="4:39">
      <c r="D167" s="37" t="s">
        <v>142</v>
      </c>
      <c r="E167" s="35">
        <v>138.06</v>
      </c>
      <c r="F167" s="35">
        <v>59.739999999999995</v>
      </c>
      <c r="G167" s="35">
        <v>3.2199999999999998</v>
      </c>
      <c r="H167" s="35"/>
      <c r="I167" s="35">
        <v>167.85999999999999</v>
      </c>
      <c r="J167" s="35">
        <v>54.339999999999996</v>
      </c>
      <c r="K167" s="35">
        <v>3.42</v>
      </c>
      <c r="M167" s="27">
        <f t="shared" si="71"/>
        <v>190.01284414178872</v>
      </c>
      <c r="N167" s="27">
        <f t="shared" si="71"/>
        <v>82.220536788573497</v>
      </c>
      <c r="O167" s="27">
        <f t="shared" si="71"/>
        <v>4.4317062011919424</v>
      </c>
      <c r="P167" s="29">
        <f>M167+N167+O167</f>
        <v>276.66508713155417</v>
      </c>
      <c r="Q167" s="27">
        <f t="shared" si="72"/>
        <v>231.02677109691911</v>
      </c>
      <c r="R167" s="27">
        <f t="shared" si="72"/>
        <v>74.788482910798194</v>
      </c>
      <c r="S167" s="27">
        <f t="shared" si="72"/>
        <v>4.7069674559243619</v>
      </c>
      <c r="T167" s="29">
        <f>Q167+R167+S167</f>
        <v>310.52222146364164</v>
      </c>
      <c r="U167" s="68" t="str">
        <f t="shared" si="69"/>
        <v>(桃93)東興路一段</v>
      </c>
      <c r="V167" s="27">
        <f>IF($P167&gt;$T167,M167,Q167)</f>
        <v>231.02677109691911</v>
      </c>
      <c r="W167" s="27">
        <f t="shared" si="73"/>
        <v>74.788482910798194</v>
      </c>
      <c r="X167" s="27">
        <f t="shared" si="73"/>
        <v>4.7069674559243619</v>
      </c>
      <c r="Z167" s="33">
        <f>W166</f>
        <v>676.42700737944597</v>
      </c>
      <c r="AA167" s="34" t="s">
        <v>52</v>
      </c>
      <c r="AB167" s="74" t="str">
        <f>U166</f>
        <v>中山西路一段</v>
      </c>
      <c r="AC167" s="74"/>
      <c r="AD167" s="73" t="str">
        <f>U164</f>
        <v>(市道114)中山西路一段</v>
      </c>
      <c r="AE167" s="22" t="s">
        <v>53</v>
      </c>
      <c r="AF167" s="33">
        <f>W164</f>
        <v>699.60400502791572</v>
      </c>
    </row>
    <row r="168" spans="4:39">
      <c r="Z168" s="33">
        <f>X166</f>
        <v>15.497208641435179</v>
      </c>
      <c r="AA168" s="34" t="s">
        <v>15</v>
      </c>
      <c r="AB168" s="74"/>
      <c r="AC168" s="74" t="str">
        <f>U165</f>
        <v>(桃104)東福路</v>
      </c>
      <c r="AD168" s="73"/>
      <c r="AE168" s="22" t="s">
        <v>16</v>
      </c>
      <c r="AF168" s="33">
        <f>V164</f>
        <v>162.59682317043979</v>
      </c>
    </row>
    <row r="169" spans="4:39">
      <c r="AA169" s="34"/>
      <c r="AB169" s="8" t="s">
        <v>17</v>
      </c>
      <c r="AC169" s="8" t="s">
        <v>39</v>
      </c>
      <c r="AD169" s="6" t="s">
        <v>14</v>
      </c>
      <c r="AE169" s="21"/>
    </row>
    <row r="170" spans="4:39">
      <c r="AB170" s="33">
        <f>V165</f>
        <v>22.406266135218893</v>
      </c>
      <c r="AC170" s="33">
        <f>W165</f>
        <v>100.63551473017233</v>
      </c>
      <c r="AD170" s="33">
        <f>X165</f>
        <v>192.95813956742563</v>
      </c>
    </row>
    <row r="171" spans="4:39">
      <c r="E171" s="184" t="s">
        <v>73</v>
      </c>
      <c r="F171" s="185"/>
      <c r="G171" s="185"/>
      <c r="H171" s="185"/>
      <c r="I171" s="185"/>
      <c r="J171" s="185"/>
      <c r="K171" s="185"/>
      <c r="M171" s="182" t="str">
        <f>E171</f>
        <v>桃106/桃109</v>
      </c>
      <c r="N171" s="183"/>
      <c r="O171" s="183"/>
      <c r="P171" s="183"/>
      <c r="Q171" s="183"/>
      <c r="R171" s="183"/>
      <c r="S171" s="183"/>
      <c r="T171" s="183"/>
      <c r="V171" s="182" t="str">
        <f>M171</f>
        <v>桃106/桃109</v>
      </c>
      <c r="W171" s="183"/>
      <c r="X171" s="183"/>
      <c r="Z171" s="17"/>
      <c r="AA171" s="182" t="str">
        <f>V171</f>
        <v>桃106/桃109</v>
      </c>
      <c r="AB171" s="183"/>
      <c r="AC171" s="183"/>
      <c r="AD171" s="183"/>
      <c r="AE171" s="183"/>
    </row>
    <row r="172" spans="4:39">
      <c r="D172" s="37" t="s">
        <v>143</v>
      </c>
      <c r="E172" s="35">
        <v>18.36</v>
      </c>
      <c r="F172" s="35">
        <v>128.44</v>
      </c>
      <c r="G172" s="35">
        <v>63.9</v>
      </c>
      <c r="H172" s="35"/>
      <c r="I172" s="35">
        <v>30.42</v>
      </c>
      <c r="J172" s="35">
        <v>84.7</v>
      </c>
      <c r="K172" s="35">
        <v>22.48</v>
      </c>
      <c r="M172" s="27">
        <f t="shared" ref="M172:O175" si="74">E172*(1+$B$5)^($B$4-$B$3)</f>
        <v>25.268983184436049</v>
      </c>
      <c r="N172" s="27">
        <f t="shared" si="74"/>
        <v>176.77277778915936</v>
      </c>
      <c r="O172" s="27">
        <f t="shared" si="74"/>
        <v>87.945970887007817</v>
      </c>
      <c r="P172" s="29">
        <f>M172+N172+O172</f>
        <v>289.98773186060322</v>
      </c>
      <c r="Q172" s="27">
        <f t="shared" ref="Q172:S175" si="75">I172*(1+$B$5)^($B$4-$B$3)</f>
        <v>41.867236844800907</v>
      </c>
      <c r="R172" s="27">
        <f t="shared" si="75"/>
        <v>116.57314137917938</v>
      </c>
      <c r="S172" s="27">
        <f t="shared" si="75"/>
        <v>30.939365031923877</v>
      </c>
      <c r="T172" s="29">
        <f>Q172+R172+S172</f>
        <v>189.37974325590415</v>
      </c>
      <c r="U172" s="68" t="str">
        <f>D172</f>
        <v>(桃106)民有路二段</v>
      </c>
      <c r="V172" s="27">
        <f>IF($P172&gt;$T172,M172,Q172)</f>
        <v>25.268983184436049</v>
      </c>
      <c r="W172" s="27">
        <f t="shared" ref="W172:X175" si="76">IF($P172&gt;$T172,N172,R172)</f>
        <v>176.77277778915936</v>
      </c>
      <c r="X172" s="27">
        <f t="shared" si="76"/>
        <v>87.945970887007817</v>
      </c>
      <c r="AB172" s="33">
        <f>X175</f>
        <v>6.8815313683104709</v>
      </c>
      <c r="AC172" s="33">
        <f>W175</f>
        <v>477.33054183148749</v>
      </c>
      <c r="AD172" s="33">
        <f>V175</f>
        <v>39.252254924842923</v>
      </c>
    </row>
    <row r="173" spans="4:39">
      <c r="D173" s="37" t="s">
        <v>144</v>
      </c>
      <c r="E173" s="35">
        <v>25.42</v>
      </c>
      <c r="F173" s="35">
        <v>424.09999999999997</v>
      </c>
      <c r="G173" s="35">
        <v>32.94</v>
      </c>
      <c r="H173" s="35"/>
      <c r="I173" s="35">
        <v>19.52</v>
      </c>
      <c r="J173" s="35">
        <v>243.51999999999998</v>
      </c>
      <c r="K173" s="35">
        <v>26.060000000000002</v>
      </c>
      <c r="M173" s="27">
        <f t="shared" si="74"/>
        <v>34.985705476490438</v>
      </c>
      <c r="N173" s="27">
        <f t="shared" si="74"/>
        <v>583.69149066009402</v>
      </c>
      <c r="O173" s="27">
        <f t="shared" si="74"/>
        <v>45.335528654429375</v>
      </c>
      <c r="P173" s="29">
        <f>M173+N173+O173</f>
        <v>664.01272479101385</v>
      </c>
      <c r="Q173" s="27">
        <f t="shared" si="75"/>
        <v>26.865498461884076</v>
      </c>
      <c r="R173" s="27">
        <f t="shared" si="75"/>
        <v>335.15810376219315</v>
      </c>
      <c r="S173" s="27">
        <f t="shared" si="75"/>
        <v>35.866541491634173</v>
      </c>
      <c r="T173" s="29">
        <f>Q173+R173+S173</f>
        <v>397.89014371571142</v>
      </c>
      <c r="U173" s="68" t="str">
        <f>D173</f>
        <v>(桃109)民生街</v>
      </c>
      <c r="V173" s="27">
        <f>IF($P173&gt;$T173,M173,Q173)</f>
        <v>34.985705476490438</v>
      </c>
      <c r="W173" s="27">
        <f t="shared" si="76"/>
        <v>583.69149066009402</v>
      </c>
      <c r="X173" s="27">
        <f t="shared" si="76"/>
        <v>45.335528654429375</v>
      </c>
      <c r="AA173" s="34"/>
      <c r="AB173" s="7" t="s">
        <v>16</v>
      </c>
      <c r="AC173" s="7" t="s">
        <v>38</v>
      </c>
      <c r="AD173" s="6" t="s">
        <v>15</v>
      </c>
      <c r="AE173" s="21"/>
    </row>
    <row r="174" spans="4:39">
      <c r="D174" s="37" t="s">
        <v>145</v>
      </c>
      <c r="E174" s="35">
        <v>20.260000000000002</v>
      </c>
      <c r="F174" s="35">
        <v>104.44</v>
      </c>
      <c r="G174" s="35">
        <v>28.72</v>
      </c>
      <c r="H174" s="35"/>
      <c r="I174" s="35">
        <v>11.68</v>
      </c>
      <c r="J174" s="35">
        <v>90.66</v>
      </c>
      <c r="K174" s="35">
        <v>28.82</v>
      </c>
      <c r="M174" s="27">
        <f t="shared" si="74"/>
        <v>27.883965104394029</v>
      </c>
      <c r="N174" s="27">
        <f t="shared" si="74"/>
        <v>143.74142722126911</v>
      </c>
      <c r="O174" s="27">
        <f t="shared" si="74"/>
        <v>39.527516179575343</v>
      </c>
      <c r="P174" s="29">
        <f>M174+N174+O174</f>
        <v>211.15290850523849</v>
      </c>
      <c r="Q174" s="27">
        <f t="shared" si="75"/>
        <v>16.075257276373257</v>
      </c>
      <c r="R174" s="27">
        <f t="shared" si="75"/>
        <v>124.77592677020544</v>
      </c>
      <c r="S174" s="27">
        <f t="shared" si="75"/>
        <v>39.66514680694155</v>
      </c>
      <c r="T174" s="29">
        <f>Q174+R174+S174</f>
        <v>180.51633085352026</v>
      </c>
      <c r="U174" s="68" t="str">
        <f>D174</f>
        <v>民有一路</v>
      </c>
      <c r="V174" s="27">
        <f>IF($P174&gt;$T174,M174,Q174)</f>
        <v>27.883965104394029</v>
      </c>
      <c r="W174" s="27">
        <f t="shared" si="76"/>
        <v>143.74142722126911</v>
      </c>
      <c r="X174" s="27">
        <f t="shared" si="76"/>
        <v>39.527516179575343</v>
      </c>
      <c r="Z174" s="33">
        <f>V174</f>
        <v>27.883965104394029</v>
      </c>
      <c r="AA174" s="34" t="s">
        <v>14</v>
      </c>
      <c r="AB174" s="71"/>
      <c r="AC174" s="72" t="str">
        <f>U175</f>
        <v>中興路</v>
      </c>
      <c r="AD174" s="73"/>
      <c r="AE174" s="22" t="s">
        <v>17</v>
      </c>
      <c r="AF174" s="33">
        <f>X172</f>
        <v>87.945970887007817</v>
      </c>
    </row>
    <row r="175" spans="4:39">
      <c r="D175" s="37" t="s">
        <v>146</v>
      </c>
      <c r="E175" s="35">
        <v>32.22</v>
      </c>
      <c r="F175" s="35">
        <v>266.46000000000004</v>
      </c>
      <c r="G175" s="35">
        <v>10.84</v>
      </c>
      <c r="H175" s="35"/>
      <c r="I175" s="35">
        <v>28.52</v>
      </c>
      <c r="J175" s="35">
        <v>346.82</v>
      </c>
      <c r="K175" s="35">
        <v>5</v>
      </c>
      <c r="M175" s="27">
        <f t="shared" si="74"/>
        <v>44.34458813739267</v>
      </c>
      <c r="N175" s="27">
        <f t="shared" si="74"/>
        <v>366.73056968000168</v>
      </c>
      <c r="O175" s="27">
        <f t="shared" si="74"/>
        <v>14.9191600064971</v>
      </c>
      <c r="P175" s="29">
        <f>M175+N175+O175</f>
        <v>425.99431782389149</v>
      </c>
      <c r="Q175" s="27">
        <f t="shared" si="75"/>
        <v>39.252254924842923</v>
      </c>
      <c r="R175" s="27">
        <f t="shared" si="75"/>
        <v>477.33054183148749</v>
      </c>
      <c r="S175" s="27">
        <f t="shared" si="75"/>
        <v>6.8815313683104709</v>
      </c>
      <c r="T175" s="29">
        <f>Q175+R175+S175</f>
        <v>523.46432812464082</v>
      </c>
      <c r="U175" s="68" t="str">
        <f>D175</f>
        <v>中興路</v>
      </c>
      <c r="V175" s="27">
        <f>IF($P175&gt;$T175,M175,Q175)</f>
        <v>39.252254924842923</v>
      </c>
      <c r="W175" s="27">
        <f t="shared" si="76"/>
        <v>477.33054183148749</v>
      </c>
      <c r="X175" s="27">
        <f t="shared" si="76"/>
        <v>6.8815313683104709</v>
      </c>
      <c r="Z175" s="33">
        <f>W174</f>
        <v>143.74142722126911</v>
      </c>
      <c r="AA175" s="34" t="s">
        <v>52</v>
      </c>
      <c r="AB175" s="74" t="str">
        <f>U174</f>
        <v>民有一路</v>
      </c>
      <c r="AC175" s="74"/>
      <c r="AD175" s="73" t="str">
        <f>U172</f>
        <v>(桃106)民有路二段</v>
      </c>
      <c r="AE175" s="22" t="s">
        <v>53</v>
      </c>
      <c r="AF175" s="33">
        <f>W172</f>
        <v>176.77277778915936</v>
      </c>
    </row>
    <row r="176" spans="4:39">
      <c r="Z176" s="33">
        <f>X174</f>
        <v>39.527516179575343</v>
      </c>
      <c r="AA176" s="34" t="s">
        <v>15</v>
      </c>
      <c r="AB176" s="74"/>
      <c r="AC176" s="74" t="str">
        <f>U173</f>
        <v>(桃109)民生街</v>
      </c>
      <c r="AD176" s="73"/>
      <c r="AE176" s="22" t="s">
        <v>16</v>
      </c>
      <c r="AF176" s="33">
        <f>V172</f>
        <v>25.268983184436049</v>
      </c>
    </row>
    <row r="177" spans="4:39">
      <c r="AA177" s="34"/>
      <c r="AB177" s="8" t="s">
        <v>17</v>
      </c>
      <c r="AC177" s="8" t="s">
        <v>39</v>
      </c>
      <c r="AD177" s="6" t="s">
        <v>14</v>
      </c>
      <c r="AE177" s="21"/>
    </row>
    <row r="178" spans="4:39">
      <c r="AB178" s="33">
        <f>V173</f>
        <v>34.985705476490438</v>
      </c>
      <c r="AC178" s="33">
        <f>W173</f>
        <v>583.69149066009402</v>
      </c>
      <c r="AD178" s="33">
        <f>X173</f>
        <v>45.335528654429375</v>
      </c>
    </row>
    <row r="179" spans="4:39" ht="16.5" customHeight="1">
      <c r="E179" s="186" t="s">
        <v>150</v>
      </c>
      <c r="F179" s="187"/>
      <c r="G179" s="187"/>
      <c r="H179" s="187"/>
      <c r="I179" s="188"/>
      <c r="M179" s="182" t="str">
        <f>E179</f>
        <v>台66/台15</v>
      </c>
      <c r="N179" s="183"/>
      <c r="O179" s="183"/>
      <c r="P179" s="183"/>
      <c r="Q179" s="183"/>
      <c r="R179" s="183"/>
      <c r="T179" s="182" t="str">
        <f>M179</f>
        <v>台66/台15</v>
      </c>
      <c r="U179" s="183"/>
      <c r="V179" s="183"/>
      <c r="W179" s="183"/>
      <c r="X179" s="183"/>
      <c r="AA179" s="182" t="str">
        <f>T179</f>
        <v>台66/台15</v>
      </c>
      <c r="AB179" s="183"/>
      <c r="AC179" s="183"/>
      <c r="AD179" s="183"/>
      <c r="AE179" s="183"/>
      <c r="AF179" s="183"/>
      <c r="AG179" s="183"/>
      <c r="AH179" s="183"/>
      <c r="AI179" s="183"/>
      <c r="AJ179" s="183"/>
      <c r="AK179" s="183"/>
      <c r="AL179" s="183"/>
      <c r="AM179" s="183"/>
    </row>
    <row r="180" spans="4:39">
      <c r="D180" s="37" t="s">
        <v>147</v>
      </c>
      <c r="E180" s="35">
        <v>0</v>
      </c>
      <c r="F180" s="35">
        <v>43.620000000000005</v>
      </c>
      <c r="G180" s="35">
        <v>307.12</v>
      </c>
      <c r="H180" s="35">
        <v>272.02</v>
      </c>
      <c r="I180" s="35">
        <v>25.86</v>
      </c>
      <c r="M180" s="27">
        <f t="shared" ref="M180:Q184" si="77">E180*(1+$B$5)^($B$4-$B$3)</f>
        <v>0</v>
      </c>
      <c r="N180" s="27">
        <f t="shared" si="77"/>
        <v>60.034479657140551</v>
      </c>
      <c r="O180" s="27">
        <f t="shared" si="77"/>
        <v>422.69118276710236</v>
      </c>
      <c r="P180" s="27">
        <f t="shared" si="77"/>
        <v>374.38283256156279</v>
      </c>
      <c r="Q180" s="27">
        <f t="shared" si="77"/>
        <v>35.591280236901753</v>
      </c>
      <c r="R180" s="29">
        <f>M180+N180+O180+P180+Q180</f>
        <v>892.69977522270744</v>
      </c>
      <c r="S180" s="40" t="s">
        <v>151</v>
      </c>
      <c r="T180" s="27">
        <f t="shared" ref="T180:X184" si="78">IF($R180&gt;$R186,M180,M186)</f>
        <v>0</v>
      </c>
      <c r="U180" s="27">
        <f t="shared" si="78"/>
        <v>60.034479657140551</v>
      </c>
      <c r="V180" s="27">
        <f t="shared" si="78"/>
        <v>422.69118276710236</v>
      </c>
      <c r="W180" s="27">
        <f>IF($R180&gt;$R186,P180,P186)</f>
        <v>374.38283256156279</v>
      </c>
      <c r="X180" s="27">
        <f t="shared" si="78"/>
        <v>35.591280236901753</v>
      </c>
      <c r="AC180" s="52">
        <f>V183</f>
        <v>60.997894048704012</v>
      </c>
      <c r="AD180" s="52">
        <f>U183</f>
        <v>739.62699146600937</v>
      </c>
      <c r="AE180" s="52">
        <f>T183</f>
        <v>158.41285209850702</v>
      </c>
      <c r="AF180" s="52">
        <f>X183</f>
        <v>2.7526125473241883</v>
      </c>
      <c r="AG180" s="1"/>
      <c r="AH180" s="52">
        <f>W184</f>
        <v>1.3763062736620941</v>
      </c>
      <c r="AI180" s="52">
        <f>V184</f>
        <v>12.304178086539121</v>
      </c>
      <c r="AJ180" s="52">
        <f>U184</f>
        <v>58.135176999486859</v>
      </c>
      <c r="AK180" s="52">
        <f>T184</f>
        <v>7.9550502617669032</v>
      </c>
    </row>
    <row r="181" spans="4:39">
      <c r="D181" s="37" t="s">
        <v>79</v>
      </c>
      <c r="E181" s="35">
        <v>153.68</v>
      </c>
      <c r="F181" s="35">
        <v>0</v>
      </c>
      <c r="G181" s="35">
        <v>140.41999999999999</v>
      </c>
      <c r="H181" s="35">
        <v>687.1</v>
      </c>
      <c r="I181" s="35">
        <v>58.76</v>
      </c>
      <c r="M181" s="27">
        <f t="shared" si="77"/>
        <v>211.51074813639065</v>
      </c>
      <c r="N181" s="27">
        <f t="shared" si="77"/>
        <v>0</v>
      </c>
      <c r="O181" s="27">
        <f t="shared" si="77"/>
        <v>193.26092694763125</v>
      </c>
      <c r="P181" s="27">
        <f t="shared" si="77"/>
        <v>945.66004063322487</v>
      </c>
      <c r="Q181" s="27">
        <f t="shared" si="77"/>
        <v>80.871756640384646</v>
      </c>
      <c r="R181" s="29">
        <f>M181+N181+O181+P181+Q181</f>
        <v>1431.3034723576313</v>
      </c>
      <c r="S181" s="40" t="s">
        <v>152</v>
      </c>
      <c r="T181" s="27">
        <f t="shared" si="78"/>
        <v>211.51074813639065</v>
      </c>
      <c r="U181" s="27">
        <f t="shared" si="78"/>
        <v>0</v>
      </c>
      <c r="V181" s="27">
        <f t="shared" si="78"/>
        <v>193.26092694763125</v>
      </c>
      <c r="W181" s="27">
        <f t="shared" si="78"/>
        <v>945.66004063322487</v>
      </c>
      <c r="X181" s="27">
        <f t="shared" si="78"/>
        <v>80.871756640384646</v>
      </c>
      <c r="AB181" s="41"/>
      <c r="AC181" s="54" t="str">
        <f>"↙"&amp;S182</f>
        <v>↙台15西</v>
      </c>
      <c r="AD181" s="54" t="str">
        <f>"↓"&amp;S181</f>
        <v>↓台66南</v>
      </c>
      <c r="AE181" s="55" t="str">
        <f>"↘"&amp;S180</f>
        <v>↘台15東</v>
      </c>
      <c r="AF181" s="43" t="str">
        <f>"⬏"&amp;S184</f>
        <v>⬏桃92</v>
      </c>
      <c r="AG181" s="44"/>
      <c r="AH181" s="42" t="str">
        <f>"⬑"&amp;S183</f>
        <v>⬑台66北</v>
      </c>
      <c r="AI181" s="54" t="str">
        <f>"↙"&amp;S182</f>
        <v>↙台15西</v>
      </c>
      <c r="AJ181" s="54" t="str">
        <f>"↓"&amp;S181</f>
        <v>↓台66南</v>
      </c>
      <c r="AK181" s="55" t="str">
        <f>"↘"&amp;S180</f>
        <v>↘台15東</v>
      </c>
      <c r="AL181" s="44"/>
    </row>
    <row r="182" spans="4:39">
      <c r="D182" s="37" t="s">
        <v>148</v>
      </c>
      <c r="E182" s="35">
        <v>218.74</v>
      </c>
      <c r="F182" s="35">
        <v>71.16</v>
      </c>
      <c r="G182" s="35">
        <v>0</v>
      </c>
      <c r="H182" s="35">
        <v>81.44</v>
      </c>
      <c r="I182" s="35">
        <v>8.1</v>
      </c>
      <c r="M182" s="27">
        <f t="shared" si="77"/>
        <v>301.0532343008465</v>
      </c>
      <c r="N182" s="27">
        <f t="shared" si="77"/>
        <v>97.937954433794616</v>
      </c>
      <c r="O182" s="27">
        <f t="shared" si="77"/>
        <v>0</v>
      </c>
      <c r="P182" s="27">
        <f t="shared" si="77"/>
        <v>112.08638292704094</v>
      </c>
      <c r="Q182" s="27">
        <f t="shared" si="77"/>
        <v>11.148080816662961</v>
      </c>
      <c r="R182" s="29">
        <f>M182+N182+O182+P182+Q182</f>
        <v>522.22565247834507</v>
      </c>
      <c r="S182" s="40" t="s">
        <v>153</v>
      </c>
      <c r="T182" s="27">
        <f t="shared" si="78"/>
        <v>298.5208307573082</v>
      </c>
      <c r="U182" s="27">
        <f t="shared" si="78"/>
        <v>154.83445578698559</v>
      </c>
      <c r="V182" s="27">
        <f t="shared" si="78"/>
        <v>0</v>
      </c>
      <c r="W182" s="27">
        <f t="shared" si="78"/>
        <v>80.624021511125477</v>
      </c>
      <c r="X182" s="27">
        <f t="shared" si="78"/>
        <v>2.7526125473241883</v>
      </c>
      <c r="AA182" s="33">
        <f>W182</f>
        <v>80.624021511125477</v>
      </c>
      <c r="AB182" s="53" t="str">
        <f>"↗"&amp;S183</f>
        <v>↗台66北</v>
      </c>
      <c r="AC182" s="60"/>
      <c r="AD182" s="61" t="str">
        <f>S183</f>
        <v>台66北</v>
      </c>
      <c r="AE182" s="62"/>
      <c r="AF182" s="63"/>
      <c r="AG182" s="63"/>
      <c r="AH182" s="63"/>
      <c r="AI182" s="69"/>
      <c r="AJ182" s="69" t="str">
        <f>S184</f>
        <v>桃92</v>
      </c>
      <c r="AK182" s="63"/>
      <c r="AL182" s="46" t="str">
        <f>"↖"&amp;S184</f>
        <v>↖桃92</v>
      </c>
      <c r="AM182" s="33">
        <f>X180</f>
        <v>35.591280236901753</v>
      </c>
    </row>
    <row r="183" spans="4:39">
      <c r="D183" s="37" t="s">
        <v>79</v>
      </c>
      <c r="E183" s="35">
        <v>117.48</v>
      </c>
      <c r="F183" s="35">
        <v>266.8</v>
      </c>
      <c r="G183" s="35">
        <v>23.26</v>
      </c>
      <c r="H183" s="35">
        <v>0</v>
      </c>
      <c r="I183" s="35">
        <v>3.42</v>
      </c>
      <c r="M183" s="27">
        <f t="shared" si="77"/>
        <v>161.68846102982283</v>
      </c>
      <c r="N183" s="27">
        <f t="shared" si="77"/>
        <v>367.1985138130467</v>
      </c>
      <c r="O183" s="27">
        <f t="shared" si="77"/>
        <v>32.012883925380315</v>
      </c>
      <c r="P183" s="27">
        <f t="shared" si="77"/>
        <v>0</v>
      </c>
      <c r="Q183" s="27">
        <f t="shared" si="77"/>
        <v>4.7069674559243619</v>
      </c>
      <c r="R183" s="29">
        <f>M183+N183+O183+P183+Q183</f>
        <v>565.60682622417414</v>
      </c>
      <c r="S183" s="40" t="s">
        <v>154</v>
      </c>
      <c r="T183" s="27">
        <f t="shared" si="78"/>
        <v>158.41285209850702</v>
      </c>
      <c r="U183" s="27">
        <f t="shared" si="78"/>
        <v>739.62699146600937</v>
      </c>
      <c r="V183" s="27">
        <f t="shared" si="78"/>
        <v>60.997894048704012</v>
      </c>
      <c r="W183" s="27">
        <f t="shared" si="78"/>
        <v>0</v>
      </c>
      <c r="X183" s="27">
        <f t="shared" si="78"/>
        <v>2.7526125473241883</v>
      </c>
      <c r="AA183" s="33">
        <f>X182</f>
        <v>2.7526125473241883</v>
      </c>
      <c r="AB183" s="53" t="str">
        <f>"↗"&amp;S184</f>
        <v>↗桃92</v>
      </c>
      <c r="AC183" s="65"/>
      <c r="AD183" s="65"/>
      <c r="AE183" s="62"/>
      <c r="AF183" s="63"/>
      <c r="AG183" s="63"/>
      <c r="AH183" s="63"/>
      <c r="AI183" s="63"/>
      <c r="AJ183" s="63"/>
      <c r="AK183" s="69"/>
      <c r="AL183" s="46" t="str">
        <f>"↖"&amp;S183</f>
        <v>↖台66北</v>
      </c>
      <c r="AM183" s="33">
        <f>W180</f>
        <v>374.38283256156279</v>
      </c>
    </row>
    <row r="184" spans="4:39">
      <c r="D184" s="37" t="s">
        <v>149</v>
      </c>
      <c r="E184" s="35">
        <v>2.42</v>
      </c>
      <c r="F184" s="35">
        <v>5.84</v>
      </c>
      <c r="G184" s="35">
        <v>0.42</v>
      </c>
      <c r="H184" s="35">
        <v>1</v>
      </c>
      <c r="I184" s="35">
        <v>0</v>
      </c>
      <c r="M184" s="27">
        <f t="shared" si="77"/>
        <v>3.3306611822622676</v>
      </c>
      <c r="N184" s="27">
        <f t="shared" si="77"/>
        <v>8.0376286381866286</v>
      </c>
      <c r="O184" s="27">
        <f t="shared" si="77"/>
        <v>0.57804863493807956</v>
      </c>
      <c r="P184" s="27">
        <f t="shared" si="77"/>
        <v>1.3763062736620941</v>
      </c>
      <c r="Q184" s="27">
        <f t="shared" si="77"/>
        <v>0</v>
      </c>
      <c r="R184" s="29">
        <f>M184+N184+O184+P184+Q184</f>
        <v>13.32264472904907</v>
      </c>
      <c r="S184" s="40" t="s">
        <v>155</v>
      </c>
      <c r="T184" s="27">
        <f t="shared" si="78"/>
        <v>7.9550502617669032</v>
      </c>
      <c r="U184" s="27">
        <f t="shared" si="78"/>
        <v>58.135176999486859</v>
      </c>
      <c r="V184" s="27">
        <f t="shared" si="78"/>
        <v>12.304178086539121</v>
      </c>
      <c r="W184" s="27">
        <f t="shared" si="78"/>
        <v>1.3763062736620941</v>
      </c>
      <c r="X184" s="27">
        <f t="shared" si="78"/>
        <v>0</v>
      </c>
      <c r="AA184" s="33">
        <f>T182</f>
        <v>298.5208307573082</v>
      </c>
      <c r="AB184" s="53" t="str">
        <f>"→"&amp;S180</f>
        <v>→台15東</v>
      </c>
      <c r="AC184" s="69" t="str">
        <f>S182</f>
        <v>台15西</v>
      </c>
      <c r="AD184" s="63"/>
      <c r="AE184" s="63"/>
      <c r="AF184" s="63"/>
      <c r="AG184" s="63"/>
      <c r="AH184" s="63"/>
      <c r="AI184" s="63"/>
      <c r="AJ184" s="63"/>
      <c r="AK184" s="69" t="str">
        <f>S180</f>
        <v>台15東</v>
      </c>
      <c r="AL184" s="46" t="str">
        <f>"←"&amp;S182</f>
        <v>←台15西</v>
      </c>
      <c r="AM184" s="33">
        <f>V180</f>
        <v>422.69118276710236</v>
      </c>
    </row>
    <row r="185" spans="4:39">
      <c r="T185" s="49" t="str">
        <f>S180</f>
        <v>台15東</v>
      </c>
      <c r="U185" s="49" t="str">
        <f>S181</f>
        <v>台66南</v>
      </c>
      <c r="V185" s="49" t="str">
        <f>S182</f>
        <v>台15西</v>
      </c>
      <c r="W185" s="49" t="str">
        <f>S183</f>
        <v>台66北</v>
      </c>
      <c r="X185" s="49" t="str">
        <f>S184</f>
        <v>桃92</v>
      </c>
      <c r="AA185" s="33">
        <f>U182</f>
        <v>154.83445578698559</v>
      </c>
      <c r="AB185" s="53" t="str">
        <f>"↘"&amp;S181</f>
        <v>↘台66南</v>
      </c>
      <c r="AC185" s="65"/>
      <c r="AD185" s="65" t="str">
        <f>S181</f>
        <v>台66南</v>
      </c>
      <c r="AE185" s="62"/>
      <c r="AF185" s="63"/>
      <c r="AG185" s="63"/>
      <c r="AH185" s="63"/>
      <c r="AI185" s="63"/>
      <c r="AJ185" s="63"/>
      <c r="AK185" s="63"/>
      <c r="AL185" s="46" t="str">
        <f>"↙"&amp;S181</f>
        <v>↙台66南</v>
      </c>
      <c r="AM185" s="33">
        <f>U180</f>
        <v>60.034479657140551</v>
      </c>
    </row>
    <row r="186" spans="4:39">
      <c r="D186" s="37" t="str">
        <f>D180</f>
        <v>(台15)濱海路</v>
      </c>
      <c r="E186" s="35">
        <v>0</v>
      </c>
      <c r="F186" s="35">
        <v>85.2</v>
      </c>
      <c r="G186" s="35">
        <v>241.88</v>
      </c>
      <c r="H186" s="35">
        <v>115.52</v>
      </c>
      <c r="I186" s="35">
        <v>7.9399999999999995</v>
      </c>
      <c r="M186" s="27">
        <f t="shared" ref="M186:Q190" si="79">E186*(1+$B$5)^($B$4-$B$3)</f>
        <v>0</v>
      </c>
      <c r="N186" s="27">
        <f t="shared" si="79"/>
        <v>117.26129451601042</v>
      </c>
      <c r="O186" s="27">
        <f t="shared" si="79"/>
        <v>332.90096147338733</v>
      </c>
      <c r="P186" s="27">
        <f t="shared" si="79"/>
        <v>158.9909007334451</v>
      </c>
      <c r="Q186" s="27">
        <f t="shared" si="79"/>
        <v>10.927871812877026</v>
      </c>
      <c r="R186" s="29">
        <f>M186+N186+O186+P186+Q186</f>
        <v>620.08102853571984</v>
      </c>
      <c r="AB186" s="41"/>
      <c r="AC186" s="47" t="str">
        <f>"↖"&amp;S182</f>
        <v>↖台15西</v>
      </c>
      <c r="AD186" s="47" t="str">
        <f>"↑"&amp;S183</f>
        <v>↑台66北</v>
      </c>
      <c r="AE186" s="47" t="str">
        <f>"↑"&amp;S184</f>
        <v>↑桃92</v>
      </c>
      <c r="AF186" s="55" t="str">
        <f>"↗"&amp;S180</f>
        <v>↗台15東</v>
      </c>
      <c r="AG186" s="44"/>
      <c r="AH186" s="47"/>
      <c r="AI186" s="47"/>
      <c r="AJ186" s="55"/>
      <c r="AK186" s="55"/>
      <c r="AL186" s="44"/>
    </row>
    <row r="187" spans="4:39">
      <c r="D187" s="37" t="str">
        <f>D181</f>
        <v>台66</v>
      </c>
      <c r="E187" s="35">
        <v>50.040000000000006</v>
      </c>
      <c r="F187" s="35">
        <v>0</v>
      </c>
      <c r="G187" s="35">
        <v>73.06</v>
      </c>
      <c r="H187" s="35">
        <v>245.16000000000003</v>
      </c>
      <c r="I187" s="35">
        <v>7.26</v>
      </c>
      <c r="M187" s="27">
        <f t="shared" si="79"/>
        <v>68.870365934051193</v>
      </c>
      <c r="N187" s="27">
        <f t="shared" si="79"/>
        <v>0</v>
      </c>
      <c r="O187" s="27">
        <f t="shared" si="79"/>
        <v>100.5529363537526</v>
      </c>
      <c r="P187" s="27">
        <f t="shared" si="79"/>
        <v>337.41524605099903</v>
      </c>
      <c r="Q187" s="27">
        <f t="shared" si="79"/>
        <v>9.9919835467868037</v>
      </c>
      <c r="R187" s="29">
        <f>M187+N187+O187+P187+Q187</f>
        <v>516.83053188558961</v>
      </c>
      <c r="AA187" s="48"/>
      <c r="AB187" s="48"/>
      <c r="AC187" s="51">
        <f>V181</f>
        <v>193.26092694763125</v>
      </c>
      <c r="AD187" s="52">
        <f>W181</f>
        <v>945.66004063322487</v>
      </c>
      <c r="AE187" s="52">
        <f>X181</f>
        <v>80.871756640384646</v>
      </c>
      <c r="AF187" s="52">
        <f>T181</f>
        <v>211.51074813639065</v>
      </c>
      <c r="AH187" s="33"/>
      <c r="AI187" s="33"/>
      <c r="AJ187" s="33"/>
      <c r="AK187" s="33"/>
    </row>
    <row r="188" spans="4:39">
      <c r="D188" s="37" t="str">
        <f>D182</f>
        <v>濱海路</v>
      </c>
      <c r="E188" s="35">
        <v>216.9</v>
      </c>
      <c r="F188" s="35">
        <v>112.5</v>
      </c>
      <c r="G188" s="35">
        <v>0</v>
      </c>
      <c r="H188" s="35">
        <v>58.58</v>
      </c>
      <c r="I188" s="35">
        <v>2</v>
      </c>
      <c r="M188" s="27">
        <f t="shared" si="79"/>
        <v>298.5208307573082</v>
      </c>
      <c r="N188" s="27">
        <f t="shared" si="79"/>
        <v>154.83445578698559</v>
      </c>
      <c r="O188" s="27">
        <f t="shared" si="79"/>
        <v>0</v>
      </c>
      <c r="P188" s="27">
        <f t="shared" si="79"/>
        <v>80.624021511125477</v>
      </c>
      <c r="Q188" s="27">
        <f t="shared" si="79"/>
        <v>2.7526125473241883</v>
      </c>
      <c r="R188" s="29">
        <f>M188+N188+O188+P188+Q188</f>
        <v>536.73192060274346</v>
      </c>
      <c r="AC188" s="33"/>
      <c r="AD188" s="33"/>
      <c r="AE188" s="33"/>
      <c r="AF188" s="33"/>
    </row>
    <row r="189" spans="4:39">
      <c r="D189" s="37" t="str">
        <f>D183</f>
        <v>台66</v>
      </c>
      <c r="E189" s="35">
        <v>115.1</v>
      </c>
      <c r="F189" s="35">
        <v>537.4</v>
      </c>
      <c r="G189" s="35">
        <v>44.32</v>
      </c>
      <c r="H189" s="35">
        <v>0</v>
      </c>
      <c r="I189" s="35">
        <v>2</v>
      </c>
      <c r="M189" s="27">
        <f t="shared" si="79"/>
        <v>158.41285209850702</v>
      </c>
      <c r="N189" s="27">
        <f t="shared" si="79"/>
        <v>739.62699146600937</v>
      </c>
      <c r="O189" s="27">
        <f t="shared" si="79"/>
        <v>60.997894048704012</v>
      </c>
      <c r="P189" s="27">
        <f t="shared" si="79"/>
        <v>0</v>
      </c>
      <c r="Q189" s="27">
        <f t="shared" si="79"/>
        <v>2.7526125473241883</v>
      </c>
      <c r="R189" s="29">
        <f>M189+N189+O189+P189+Q189</f>
        <v>961.79035016054445</v>
      </c>
    </row>
    <row r="190" spans="4:39">
      <c r="D190" s="37" t="str">
        <f>D184</f>
        <v>(桃92)桃大路</v>
      </c>
      <c r="E190" s="35">
        <v>5.7799999999999994</v>
      </c>
      <c r="F190" s="35">
        <v>42.24</v>
      </c>
      <c r="G190" s="35">
        <v>8.94</v>
      </c>
      <c r="H190" s="35">
        <v>1</v>
      </c>
      <c r="I190" s="35">
        <v>0</v>
      </c>
      <c r="M190" s="27">
        <f t="shared" si="79"/>
        <v>7.9550502617669032</v>
      </c>
      <c r="N190" s="27">
        <f t="shared" si="79"/>
        <v>58.135176999486859</v>
      </c>
      <c r="O190" s="27">
        <f t="shared" si="79"/>
        <v>12.304178086539121</v>
      </c>
      <c r="P190" s="27">
        <f t="shared" si="79"/>
        <v>1.3763062736620941</v>
      </c>
      <c r="Q190" s="27">
        <f t="shared" si="79"/>
        <v>0</v>
      </c>
      <c r="R190" s="29">
        <f>M190+N190+O190+P190+Q190</f>
        <v>79.770711621454979</v>
      </c>
      <c r="AA190" s="33"/>
    </row>
    <row r="191" spans="4:39">
      <c r="AA191" s="33"/>
    </row>
    <row r="192" spans="4:39" ht="16.5" customHeight="1">
      <c r="E192" s="186" t="s">
        <v>156</v>
      </c>
      <c r="F192" s="187"/>
      <c r="G192" s="187"/>
      <c r="H192" s="187"/>
      <c r="I192" s="188"/>
      <c r="M192" s="182" t="str">
        <f>E192</f>
        <v>台66/市道115(北側)</v>
      </c>
      <c r="N192" s="183"/>
      <c r="O192" s="183"/>
      <c r="P192" s="183"/>
      <c r="Q192" s="183"/>
      <c r="R192" s="183"/>
      <c r="T192" s="182" t="str">
        <f>M192</f>
        <v>台66/市道115(北側)</v>
      </c>
      <c r="U192" s="183"/>
      <c r="V192" s="183"/>
      <c r="W192" s="183"/>
      <c r="X192" s="183"/>
      <c r="AA192" s="182" t="str">
        <f>T192</f>
        <v>台66/市道115(北側)</v>
      </c>
      <c r="AB192" s="183"/>
      <c r="AC192" s="183"/>
      <c r="AD192" s="183"/>
      <c r="AE192" s="183"/>
      <c r="AF192" s="183"/>
      <c r="AG192" s="183"/>
      <c r="AH192" s="183"/>
      <c r="AI192" s="183"/>
      <c r="AJ192" s="183"/>
      <c r="AK192" s="183"/>
      <c r="AL192" s="183"/>
      <c r="AM192" s="183"/>
    </row>
    <row r="193" spans="4:39">
      <c r="D193" s="37" t="s">
        <v>79</v>
      </c>
      <c r="E193" s="35">
        <v>0</v>
      </c>
      <c r="F193" s="35">
        <v>23.060000000000002</v>
      </c>
      <c r="G193" s="35">
        <v>91.759999999999991</v>
      </c>
      <c r="H193" s="35">
        <v>431.88</v>
      </c>
      <c r="I193" s="35">
        <v>2</v>
      </c>
      <c r="M193" s="27">
        <f t="shared" ref="M193:Q197" si="80">E193*(1+$B$5)^($B$4-$B$3)</f>
        <v>0</v>
      </c>
      <c r="N193" s="27">
        <f t="shared" si="80"/>
        <v>31.737622670647895</v>
      </c>
      <c r="O193" s="27">
        <f t="shared" si="80"/>
        <v>126.28986367123375</v>
      </c>
      <c r="P193" s="27">
        <f t="shared" si="80"/>
        <v>594.39915346918519</v>
      </c>
      <c r="Q193" s="27">
        <f t="shared" si="80"/>
        <v>2.7526125473241883</v>
      </c>
      <c r="R193" s="29">
        <f>M193+N193+O193+P193+Q193</f>
        <v>755.17925235839095</v>
      </c>
      <c r="S193" s="40" t="s">
        <v>158</v>
      </c>
      <c r="T193" s="27">
        <f t="shared" ref="T193:W197" si="81">IF($R193&gt;$R199,M193,M199)</f>
        <v>0</v>
      </c>
      <c r="U193" s="27">
        <f t="shared" si="81"/>
        <v>31.737622670647895</v>
      </c>
      <c r="V193" s="27">
        <f t="shared" si="81"/>
        <v>126.28986367123375</v>
      </c>
      <c r="W193" s="27">
        <f>IF($R193&gt;$R199,P193,P199)</f>
        <v>594.39915346918519</v>
      </c>
      <c r="X193" s="27">
        <f>IF($R193&gt;$R199,Q193,Q199)</f>
        <v>2.7526125473241883</v>
      </c>
      <c r="AC193" s="52">
        <f>V196</f>
        <v>3.3306611822622676</v>
      </c>
      <c r="AD193" s="52">
        <f>U196</f>
        <v>902.6917587694943</v>
      </c>
      <c r="AE193" s="52">
        <f>T196</f>
        <v>0</v>
      </c>
      <c r="AF193" s="52">
        <f>X196</f>
        <v>0</v>
      </c>
      <c r="AG193" s="1"/>
      <c r="AH193" s="52">
        <f>W197</f>
        <v>1.9543549086001735</v>
      </c>
      <c r="AI193" s="52">
        <f>V197</f>
        <v>9.6341439156346595</v>
      </c>
      <c r="AJ193" s="52">
        <f>U197</f>
        <v>30.553999275298487</v>
      </c>
      <c r="AK193" s="52">
        <f>T197</f>
        <v>0</v>
      </c>
    </row>
    <row r="194" spans="4:39">
      <c r="D194" s="37" t="s">
        <v>96</v>
      </c>
      <c r="E194" s="35">
        <v>0</v>
      </c>
      <c r="F194" s="35">
        <v>0</v>
      </c>
      <c r="G194" s="35">
        <v>101.82</v>
      </c>
      <c r="H194" s="35">
        <v>424.48</v>
      </c>
      <c r="I194" s="35">
        <v>4.84</v>
      </c>
      <c r="M194" s="27">
        <f t="shared" si="80"/>
        <v>0</v>
      </c>
      <c r="N194" s="27">
        <f t="shared" si="80"/>
        <v>0</v>
      </c>
      <c r="O194" s="27">
        <f t="shared" si="80"/>
        <v>140.13550478427442</v>
      </c>
      <c r="P194" s="27">
        <f t="shared" si="80"/>
        <v>584.21448704408579</v>
      </c>
      <c r="Q194" s="27">
        <f t="shared" si="80"/>
        <v>6.6613223645245352</v>
      </c>
      <c r="R194" s="29">
        <f>M194+N194+O194+P194+Q194</f>
        <v>731.0113141928847</v>
      </c>
      <c r="S194" s="40" t="s">
        <v>159</v>
      </c>
      <c r="T194" s="27">
        <f t="shared" si="81"/>
        <v>0</v>
      </c>
      <c r="U194" s="27">
        <f t="shared" si="81"/>
        <v>0</v>
      </c>
      <c r="V194" s="27">
        <f t="shared" si="81"/>
        <v>140.13550478427442</v>
      </c>
      <c r="W194" s="27">
        <f t="shared" si="81"/>
        <v>584.21448704408579</v>
      </c>
      <c r="X194" s="27">
        <f>IF($R194&gt;$R200,Q194,Q200)</f>
        <v>6.6613223645245352</v>
      </c>
      <c r="AB194" s="41"/>
      <c r="AC194" s="42" t="str">
        <f>"↙"&amp;S195</f>
        <v>↙台66西</v>
      </c>
      <c r="AD194" s="42" t="str">
        <f>"↓"&amp;S194</f>
        <v>↓市道115南</v>
      </c>
      <c r="AE194" s="43" t="str">
        <f>"↘"&amp;S193</f>
        <v>↘台66東</v>
      </c>
      <c r="AF194" s="43" t="str">
        <f>"⬏"&amp;S197</f>
        <v>⬏文化路石橋段625巷</v>
      </c>
      <c r="AG194" s="44"/>
      <c r="AH194" s="42" t="str">
        <f>"⬑"&amp;S196</f>
        <v>⬑市道115北</v>
      </c>
      <c r="AI194" s="42" t="str">
        <f>"↙"&amp;S195</f>
        <v>↙台66西</v>
      </c>
      <c r="AJ194" s="42" t="str">
        <f>"↓"&amp;S194</f>
        <v>↓市道115南</v>
      </c>
      <c r="AK194" s="43" t="str">
        <f>"↘"&amp;S193</f>
        <v>↘台66東</v>
      </c>
      <c r="AL194" s="44"/>
    </row>
    <row r="195" spans="4:39">
      <c r="D195" s="37" t="s">
        <v>79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M195" s="27">
        <f t="shared" si="80"/>
        <v>0</v>
      </c>
      <c r="N195" s="27">
        <f t="shared" si="80"/>
        <v>0</v>
      </c>
      <c r="O195" s="27">
        <f t="shared" si="80"/>
        <v>0</v>
      </c>
      <c r="P195" s="27">
        <f t="shared" si="80"/>
        <v>0</v>
      </c>
      <c r="Q195" s="27">
        <f t="shared" si="80"/>
        <v>0</v>
      </c>
      <c r="R195" s="29">
        <f>M195+N195+O195+P195+Q195</f>
        <v>0</v>
      </c>
      <c r="S195" s="40" t="s">
        <v>160</v>
      </c>
      <c r="T195" s="27">
        <f t="shared" si="81"/>
        <v>0</v>
      </c>
      <c r="U195" s="27">
        <f t="shared" si="81"/>
        <v>0</v>
      </c>
      <c r="V195" s="27">
        <f t="shared" si="81"/>
        <v>0</v>
      </c>
      <c r="W195" s="27">
        <f t="shared" si="81"/>
        <v>0</v>
      </c>
      <c r="X195" s="27">
        <f>IF($R195&gt;$R201,Q195,Q201)</f>
        <v>0</v>
      </c>
      <c r="AA195" s="33">
        <f>W195</f>
        <v>0</v>
      </c>
      <c r="AB195" s="41" t="str">
        <f>"↗"&amp;S196</f>
        <v>↗市道115北</v>
      </c>
      <c r="AC195" s="60"/>
      <c r="AD195" s="61" t="str">
        <f>S196</f>
        <v>市道115北</v>
      </c>
      <c r="AE195" s="62"/>
      <c r="AF195" s="63"/>
      <c r="AG195" s="63"/>
      <c r="AH195" s="63"/>
      <c r="AI195" s="69"/>
      <c r="AJ195" s="69" t="str">
        <f>S197</f>
        <v>文化路石橋段625巷</v>
      </c>
      <c r="AK195" s="63"/>
      <c r="AL195" s="66" t="str">
        <f>"↖"&amp;S197</f>
        <v>↖文化路石橋段625巷</v>
      </c>
      <c r="AM195" s="33">
        <f>X193</f>
        <v>2.7526125473241883</v>
      </c>
    </row>
    <row r="196" spans="4:39">
      <c r="D196" s="37" t="s">
        <v>97</v>
      </c>
      <c r="E196" s="35">
        <v>0</v>
      </c>
      <c r="F196" s="35">
        <v>401.48</v>
      </c>
      <c r="G196" s="35">
        <v>14.459999999999999</v>
      </c>
      <c r="H196" s="35">
        <v>0</v>
      </c>
      <c r="I196" s="35">
        <v>0.42</v>
      </c>
      <c r="M196" s="27">
        <f t="shared" si="80"/>
        <v>0</v>
      </c>
      <c r="N196" s="27">
        <f t="shared" si="80"/>
        <v>552.55944274985757</v>
      </c>
      <c r="O196" s="27">
        <f t="shared" si="80"/>
        <v>19.901388717153878</v>
      </c>
      <c r="P196" s="27">
        <f t="shared" si="80"/>
        <v>0</v>
      </c>
      <c r="Q196" s="27">
        <f t="shared" si="80"/>
        <v>0.57804863493807956</v>
      </c>
      <c r="R196" s="29">
        <f>M196+N196+O196+P196+Q196</f>
        <v>573.03888010194953</v>
      </c>
      <c r="S196" s="40" t="s">
        <v>161</v>
      </c>
      <c r="T196" s="27">
        <f t="shared" si="81"/>
        <v>0</v>
      </c>
      <c r="U196" s="27">
        <f t="shared" si="81"/>
        <v>902.6917587694943</v>
      </c>
      <c r="V196" s="27">
        <f t="shared" si="81"/>
        <v>3.3306611822622676</v>
      </c>
      <c r="W196" s="27">
        <f t="shared" si="81"/>
        <v>0</v>
      </c>
      <c r="X196" s="27">
        <f>IF($R196&gt;$R202,Q196,Q202)</f>
        <v>0</v>
      </c>
      <c r="AA196" s="33">
        <f>X195</f>
        <v>0</v>
      </c>
      <c r="AB196" s="41" t="str">
        <f>"↗"&amp;S197</f>
        <v>↗文化路石橋段625巷</v>
      </c>
      <c r="AC196" s="65"/>
      <c r="AD196" s="65"/>
      <c r="AE196" s="62"/>
      <c r="AF196" s="63"/>
      <c r="AG196" s="63"/>
      <c r="AH196" s="63"/>
      <c r="AI196" s="63"/>
      <c r="AJ196" s="63"/>
      <c r="AK196" s="69"/>
      <c r="AL196" s="66" t="str">
        <f>"↖"&amp;S196</f>
        <v>↖市道115北</v>
      </c>
      <c r="AM196" s="33">
        <f>W193</f>
        <v>594.39915346918519</v>
      </c>
    </row>
    <row r="197" spans="4:39">
      <c r="D197" s="37" t="s">
        <v>157</v>
      </c>
      <c r="E197" s="35">
        <v>0</v>
      </c>
      <c r="F197" s="35">
        <v>22.2</v>
      </c>
      <c r="G197" s="35">
        <v>7</v>
      </c>
      <c r="H197" s="35">
        <v>1.42</v>
      </c>
      <c r="I197" s="35">
        <v>0</v>
      </c>
      <c r="M197" s="27">
        <f t="shared" si="80"/>
        <v>0</v>
      </c>
      <c r="N197" s="27">
        <f t="shared" si="80"/>
        <v>30.553999275298487</v>
      </c>
      <c r="O197" s="27">
        <f t="shared" si="80"/>
        <v>9.6341439156346595</v>
      </c>
      <c r="P197" s="27">
        <f t="shared" si="80"/>
        <v>1.9543549086001735</v>
      </c>
      <c r="Q197" s="27">
        <f t="shared" si="80"/>
        <v>0</v>
      </c>
      <c r="R197" s="29">
        <f>M197+N197+O197+P197+Q197</f>
        <v>42.14249809953332</v>
      </c>
      <c r="S197" s="40" t="s">
        <v>157</v>
      </c>
      <c r="T197" s="27">
        <f t="shared" si="81"/>
        <v>0</v>
      </c>
      <c r="U197" s="27">
        <f t="shared" si="81"/>
        <v>30.553999275298487</v>
      </c>
      <c r="V197" s="27">
        <f t="shared" si="81"/>
        <v>9.6341439156346595</v>
      </c>
      <c r="W197" s="27">
        <f t="shared" si="81"/>
        <v>1.9543549086001735</v>
      </c>
      <c r="X197" s="27">
        <f>IF($R197&gt;$R203,Q197,Q203)</f>
        <v>0</v>
      </c>
      <c r="AA197" s="33">
        <f>T195</f>
        <v>0</v>
      </c>
      <c r="AB197" s="41" t="str">
        <f>"→"&amp;S193</f>
        <v>→台66東</v>
      </c>
      <c r="AC197" s="69" t="str">
        <f>S195</f>
        <v>台66西</v>
      </c>
      <c r="AD197" s="63"/>
      <c r="AE197" s="63"/>
      <c r="AF197" s="63"/>
      <c r="AG197" s="63"/>
      <c r="AH197" s="63"/>
      <c r="AI197" s="63"/>
      <c r="AJ197" s="63"/>
      <c r="AK197" s="69" t="str">
        <f>S193</f>
        <v>台66東</v>
      </c>
      <c r="AL197" s="66" t="str">
        <f>"←"&amp;S195</f>
        <v>←台66西</v>
      </c>
      <c r="AM197" s="33">
        <f>V193</f>
        <v>126.28986367123375</v>
      </c>
    </row>
    <row r="198" spans="4:39">
      <c r="T198" s="49" t="str">
        <f>S193</f>
        <v>台66東</v>
      </c>
      <c r="U198" s="49" t="str">
        <f>S194</f>
        <v>市道115南</v>
      </c>
      <c r="V198" s="49" t="str">
        <f>S195</f>
        <v>台66西</v>
      </c>
      <c r="W198" s="49" t="str">
        <f>S196</f>
        <v>市道115北</v>
      </c>
      <c r="X198" s="49" t="str">
        <f>S197</f>
        <v>文化路石橋段625巷</v>
      </c>
      <c r="AA198" s="33">
        <f>U195</f>
        <v>0</v>
      </c>
      <c r="AB198" s="41" t="str">
        <f>"↘"&amp;S194</f>
        <v>↘市道115南</v>
      </c>
      <c r="AC198" s="65"/>
      <c r="AD198" s="65" t="str">
        <f>S194</f>
        <v>市道115南</v>
      </c>
      <c r="AE198" s="62"/>
      <c r="AF198" s="63"/>
      <c r="AG198" s="63"/>
      <c r="AH198" s="63"/>
      <c r="AI198" s="63"/>
      <c r="AJ198" s="63"/>
      <c r="AK198" s="63"/>
      <c r="AL198" s="66" t="str">
        <f>"↙"&amp;S194</f>
        <v>↙市道115南</v>
      </c>
      <c r="AM198" s="33">
        <f>U193</f>
        <v>31.737622670647895</v>
      </c>
    </row>
    <row r="199" spans="4:39">
      <c r="D199" s="37" t="str">
        <f>D193</f>
        <v>台66</v>
      </c>
      <c r="E199" s="35">
        <v>0</v>
      </c>
      <c r="F199" s="35">
        <v>8.64</v>
      </c>
      <c r="G199" s="35">
        <v>38.22</v>
      </c>
      <c r="H199" s="35">
        <v>186.38</v>
      </c>
      <c r="I199" s="35">
        <v>6.42</v>
      </c>
      <c r="M199" s="27">
        <f t="shared" ref="M199:Q203" si="82">E199*(1+$B$5)^($B$4-$B$3)</f>
        <v>0</v>
      </c>
      <c r="N199" s="27">
        <f t="shared" si="82"/>
        <v>11.891286204440494</v>
      </c>
      <c r="O199" s="27">
        <f t="shared" si="82"/>
        <v>52.602425779365234</v>
      </c>
      <c r="P199" s="27">
        <f t="shared" si="82"/>
        <v>256.51596328514108</v>
      </c>
      <c r="Q199" s="27">
        <f t="shared" si="82"/>
        <v>8.8358862769106441</v>
      </c>
      <c r="R199" s="29">
        <f>M199+N199+O199+P199+Q199</f>
        <v>329.84556154585744</v>
      </c>
      <c r="AB199" s="41"/>
      <c r="AC199" s="47" t="str">
        <f>"↖"&amp;S195</f>
        <v>↖台66西</v>
      </c>
      <c r="AD199" s="47" t="str">
        <f>"↑"&amp;S196</f>
        <v>↑市道115北</v>
      </c>
      <c r="AE199" s="70" t="str">
        <f>"↑"&amp;S197</f>
        <v>↑文化路石橋段625巷</v>
      </c>
      <c r="AF199" s="43" t="str">
        <f>"↗"&amp;S193</f>
        <v>↗台66東</v>
      </c>
      <c r="AG199" s="44"/>
      <c r="AH199" s="47"/>
      <c r="AI199" s="47"/>
      <c r="AJ199" s="43"/>
      <c r="AK199" s="43"/>
      <c r="AL199" s="44"/>
    </row>
    <row r="200" spans="4:39">
      <c r="D200" s="37" t="str">
        <f>D194</f>
        <v>(市道115)文化路石橋段</v>
      </c>
      <c r="E200" s="35">
        <v>0</v>
      </c>
      <c r="F200" s="35">
        <v>0</v>
      </c>
      <c r="G200" s="35">
        <v>51.08</v>
      </c>
      <c r="H200" s="35">
        <v>171.16</v>
      </c>
      <c r="I200" s="35">
        <v>8.7799999999999994</v>
      </c>
      <c r="M200" s="27">
        <f t="shared" si="82"/>
        <v>0</v>
      </c>
      <c r="N200" s="27">
        <f t="shared" si="82"/>
        <v>0</v>
      </c>
      <c r="O200" s="27">
        <f t="shared" si="82"/>
        <v>70.301724458659763</v>
      </c>
      <c r="P200" s="27">
        <f t="shared" si="82"/>
        <v>235.56858180000404</v>
      </c>
      <c r="Q200" s="27">
        <f t="shared" si="82"/>
        <v>12.083969082753185</v>
      </c>
      <c r="R200" s="29">
        <f>M200+N200+O200+P200+Q200</f>
        <v>317.95427534141697</v>
      </c>
      <c r="AA200" s="48"/>
      <c r="AB200" s="48"/>
      <c r="AC200" s="51">
        <f>V194</f>
        <v>140.13550478427442</v>
      </c>
      <c r="AD200" s="52">
        <f>W194</f>
        <v>584.21448704408579</v>
      </c>
      <c r="AE200" s="52">
        <f>X194</f>
        <v>6.6613223645245352</v>
      </c>
      <c r="AF200" s="52">
        <f>T194</f>
        <v>0</v>
      </c>
      <c r="AH200" s="33"/>
      <c r="AI200" s="33"/>
      <c r="AJ200" s="33"/>
      <c r="AK200" s="33"/>
    </row>
    <row r="201" spans="4:39">
      <c r="D201" s="37" t="str">
        <f>D195</f>
        <v>台66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M201" s="27">
        <f t="shared" si="82"/>
        <v>0</v>
      </c>
      <c r="N201" s="27">
        <f t="shared" si="82"/>
        <v>0</v>
      </c>
      <c r="O201" s="27">
        <f t="shared" si="82"/>
        <v>0</v>
      </c>
      <c r="P201" s="27">
        <f t="shared" si="82"/>
        <v>0</v>
      </c>
      <c r="Q201" s="27">
        <f t="shared" si="82"/>
        <v>0</v>
      </c>
      <c r="R201" s="29">
        <f>M201+N201+O201+P201+Q201</f>
        <v>0</v>
      </c>
      <c r="AC201" s="33"/>
      <c r="AD201" s="33"/>
      <c r="AE201" s="33"/>
      <c r="AF201" s="33"/>
    </row>
    <row r="202" spans="4:39">
      <c r="D202" s="37" t="str">
        <f>D196</f>
        <v>文化路石橋段</v>
      </c>
      <c r="E202" s="35">
        <v>0</v>
      </c>
      <c r="F202" s="35">
        <v>655.88</v>
      </c>
      <c r="G202" s="35">
        <v>2.42</v>
      </c>
      <c r="H202" s="35">
        <v>0</v>
      </c>
      <c r="I202" s="35">
        <v>0</v>
      </c>
      <c r="M202" s="27">
        <f t="shared" si="82"/>
        <v>0</v>
      </c>
      <c r="N202" s="27">
        <f t="shared" si="82"/>
        <v>902.6917587694943</v>
      </c>
      <c r="O202" s="27">
        <f t="shared" si="82"/>
        <v>3.3306611822622676</v>
      </c>
      <c r="P202" s="27">
        <f t="shared" si="82"/>
        <v>0</v>
      </c>
      <c r="Q202" s="27">
        <f t="shared" si="82"/>
        <v>0</v>
      </c>
      <c r="R202" s="29">
        <f>M202+N202+O202+P202+Q202</f>
        <v>906.02241995175655</v>
      </c>
    </row>
    <row r="203" spans="4:39">
      <c r="D203" s="37" t="str">
        <f>D197</f>
        <v>文化路石橋段625巷</v>
      </c>
      <c r="E203" s="35">
        <v>0</v>
      </c>
      <c r="F203" s="35">
        <v>7.68</v>
      </c>
      <c r="G203" s="35">
        <v>2</v>
      </c>
      <c r="H203" s="35">
        <v>6.6</v>
      </c>
      <c r="I203" s="35">
        <v>0</v>
      </c>
      <c r="M203" s="27">
        <f t="shared" si="82"/>
        <v>0</v>
      </c>
      <c r="N203" s="27">
        <f t="shared" si="82"/>
        <v>10.570032181724882</v>
      </c>
      <c r="O203" s="27">
        <f t="shared" si="82"/>
        <v>2.7526125473241883</v>
      </c>
      <c r="P203" s="27">
        <f t="shared" si="82"/>
        <v>9.0836214061698204</v>
      </c>
      <c r="Q203" s="27">
        <f t="shared" si="82"/>
        <v>0</v>
      </c>
      <c r="R203" s="29">
        <f>M203+N203+O203+P203+Q203</f>
        <v>22.406266135218893</v>
      </c>
      <c r="AA203" s="33"/>
    </row>
    <row r="205" spans="4:39">
      <c r="E205" s="179" t="s">
        <v>165</v>
      </c>
      <c r="F205" s="180"/>
      <c r="G205" s="180"/>
      <c r="H205" s="180"/>
      <c r="I205" s="181"/>
      <c r="M205" s="177" t="str">
        <f>E205</f>
        <v>台66/市道114(東側)</v>
      </c>
      <c r="N205" s="178"/>
      <c r="O205" s="178"/>
      <c r="P205" s="178"/>
      <c r="Q205" s="178"/>
      <c r="R205" s="178"/>
      <c r="T205" s="177" t="str">
        <f>M205</f>
        <v>台66/市道114(東側)</v>
      </c>
      <c r="U205" s="178"/>
      <c r="V205" s="178"/>
      <c r="W205" s="178"/>
      <c r="X205" s="178"/>
      <c r="AA205" s="177" t="str">
        <f>T205</f>
        <v>台66/市道114(東側)</v>
      </c>
      <c r="AB205" s="178"/>
      <c r="AC205" s="178"/>
      <c r="AD205" s="178"/>
      <c r="AE205" s="178"/>
      <c r="AF205" s="178"/>
      <c r="AG205" s="178"/>
      <c r="AH205" s="178"/>
      <c r="AI205" s="178"/>
      <c r="AJ205" s="178"/>
      <c r="AK205" s="178"/>
      <c r="AL205" s="178"/>
      <c r="AM205" s="178"/>
    </row>
    <row r="206" spans="4:39">
      <c r="D206" s="37" t="s">
        <v>111</v>
      </c>
      <c r="E206" s="35">
        <v>0</v>
      </c>
      <c r="F206" s="35">
        <v>0</v>
      </c>
      <c r="G206" s="35">
        <v>0</v>
      </c>
      <c r="H206" s="35">
        <v>468.29999999999995</v>
      </c>
      <c r="I206" s="35">
        <v>113.8</v>
      </c>
      <c r="M206" s="33">
        <f t="shared" ref="M206:Q210" si="83">E206*(1+$B$5)^($B$4-$B$3)</f>
        <v>0</v>
      </c>
      <c r="N206" s="33">
        <f t="shared" si="83"/>
        <v>0</v>
      </c>
      <c r="O206" s="33">
        <f t="shared" si="83"/>
        <v>0</v>
      </c>
      <c r="P206" s="33">
        <f t="shared" si="83"/>
        <v>644.52422795595862</v>
      </c>
      <c r="Q206" s="33">
        <f t="shared" si="83"/>
        <v>156.6236539427463</v>
      </c>
      <c r="R206" s="56">
        <f>M206+N206+O206+P206+Q206</f>
        <v>801.1478818987049</v>
      </c>
      <c r="S206" s="40" t="s">
        <v>163</v>
      </c>
      <c r="T206" s="33">
        <f t="shared" ref="T206:W210" si="84">IF($R206&gt;$R212,M206,M212)</f>
        <v>0</v>
      </c>
      <c r="U206" s="33">
        <f t="shared" si="84"/>
        <v>0</v>
      </c>
      <c r="V206" s="33">
        <f t="shared" si="84"/>
        <v>0</v>
      </c>
      <c r="W206" s="33">
        <f>IF($R206&gt;$R212,P206,P212)</f>
        <v>644.52422795595862</v>
      </c>
      <c r="X206" s="33">
        <f>IF($R206&gt;$R212,Q206,Q212)</f>
        <v>156.6236539427463</v>
      </c>
      <c r="AC206" s="52">
        <f>W210</f>
        <v>0</v>
      </c>
      <c r="AD206" s="52">
        <f>V210</f>
        <v>0</v>
      </c>
      <c r="AE206" s="52">
        <f>U210</f>
        <v>0</v>
      </c>
      <c r="AF206" s="52">
        <f>T210</f>
        <v>0</v>
      </c>
      <c r="AG206" s="1"/>
      <c r="AH206" s="52"/>
      <c r="AI206" s="52"/>
      <c r="AJ206" s="52"/>
      <c r="AK206" s="52"/>
    </row>
    <row r="207" spans="4:39">
      <c r="D207" s="37" t="s">
        <v>162</v>
      </c>
      <c r="E207" s="35">
        <v>12.08</v>
      </c>
      <c r="F207" s="35">
        <v>0</v>
      </c>
      <c r="G207" s="35">
        <v>0</v>
      </c>
      <c r="H207" s="35">
        <v>1.42</v>
      </c>
      <c r="I207" s="35">
        <v>0</v>
      </c>
      <c r="M207" s="33">
        <f t="shared" si="83"/>
        <v>16.625779785838098</v>
      </c>
      <c r="N207" s="33">
        <f t="shared" si="83"/>
        <v>0</v>
      </c>
      <c r="O207" s="33">
        <f t="shared" si="83"/>
        <v>0</v>
      </c>
      <c r="P207" s="33">
        <f t="shared" si="83"/>
        <v>1.9543549086001735</v>
      </c>
      <c r="Q207" s="33">
        <f t="shared" si="83"/>
        <v>0</v>
      </c>
      <c r="R207" s="56">
        <f>M207+N207+O207+P207+Q207</f>
        <v>18.580134694438271</v>
      </c>
      <c r="S207" s="40" t="s">
        <v>162</v>
      </c>
      <c r="T207" s="33">
        <f t="shared" si="84"/>
        <v>77.678726085488591</v>
      </c>
      <c r="U207" s="33">
        <f t="shared" si="84"/>
        <v>0</v>
      </c>
      <c r="V207" s="33">
        <f t="shared" si="84"/>
        <v>0</v>
      </c>
      <c r="W207" s="33">
        <f t="shared" si="84"/>
        <v>1.9543549086001735</v>
      </c>
      <c r="X207" s="33">
        <f>IF($R207&gt;$R213,Q207,Q213)</f>
        <v>3.9087098172003469</v>
      </c>
      <c r="AB207" s="41"/>
      <c r="AC207" s="42" t="str">
        <f>"↙"&amp;S209</f>
        <v>↙市道114西</v>
      </c>
      <c r="AD207" s="42" t="str">
        <f>"↓"&amp;S208</f>
        <v>↓台66南</v>
      </c>
      <c r="AE207" s="42" t="str">
        <f>"↓"&amp;S207</f>
        <v>↓中山東路二段130巷</v>
      </c>
      <c r="AF207" s="43" t="str">
        <f>"↘"&amp;S206</f>
        <v>↘市道114東</v>
      </c>
      <c r="AG207" s="44"/>
      <c r="AH207" s="42"/>
      <c r="AI207" s="42"/>
      <c r="AJ207" s="42"/>
      <c r="AK207" s="43"/>
      <c r="AL207" s="44"/>
    </row>
    <row r="208" spans="4:39">
      <c r="D208" s="37" t="s">
        <v>79</v>
      </c>
      <c r="E208" s="35">
        <v>77.899999999999991</v>
      </c>
      <c r="F208" s="35">
        <v>22.14</v>
      </c>
      <c r="G208" s="35">
        <v>0</v>
      </c>
      <c r="H208" s="35">
        <v>880.83999999999992</v>
      </c>
      <c r="I208" s="35">
        <v>391.12</v>
      </c>
      <c r="M208" s="33">
        <f t="shared" si="83"/>
        <v>107.21425871827712</v>
      </c>
      <c r="N208" s="33">
        <f t="shared" si="83"/>
        <v>30.471420898878765</v>
      </c>
      <c r="O208" s="33">
        <f t="shared" si="83"/>
        <v>0</v>
      </c>
      <c r="P208" s="33">
        <f t="shared" si="83"/>
        <v>1212.3056180925189</v>
      </c>
      <c r="Q208" s="33">
        <f t="shared" si="83"/>
        <v>538.3009097547183</v>
      </c>
      <c r="R208" s="56">
        <f>M208+N208+O208+P208+Q208</f>
        <v>1888.2922074643932</v>
      </c>
      <c r="S208" s="40" t="s">
        <v>152</v>
      </c>
      <c r="T208" s="33">
        <f t="shared" si="84"/>
        <v>107.21425871827712</v>
      </c>
      <c r="U208" s="33">
        <f t="shared" si="84"/>
        <v>30.471420898878765</v>
      </c>
      <c r="V208" s="33">
        <f t="shared" si="84"/>
        <v>0</v>
      </c>
      <c r="W208" s="33">
        <f t="shared" si="84"/>
        <v>1212.3056180925189</v>
      </c>
      <c r="X208" s="33">
        <f>IF($R208&gt;$R214,Q208,Q214)</f>
        <v>538.3009097547183</v>
      </c>
      <c r="AA208" s="33">
        <f>X209</f>
        <v>37.187795514349787</v>
      </c>
      <c r="AB208" s="41" t="str">
        <f>"↗"&amp;S210</f>
        <v>↗台66北</v>
      </c>
      <c r="AC208" s="60"/>
      <c r="AD208" s="61" t="str">
        <f>S210</f>
        <v>台66北</v>
      </c>
      <c r="AE208" s="62"/>
      <c r="AF208" s="63"/>
      <c r="AG208" s="63"/>
      <c r="AH208" s="63"/>
      <c r="AI208" s="69"/>
      <c r="AJ208" s="63"/>
      <c r="AK208" s="63"/>
      <c r="AL208" s="59" t="str">
        <f>"↖"&amp;S210</f>
        <v>↖台66北</v>
      </c>
      <c r="AM208" s="33">
        <f>X206</f>
        <v>156.6236539427463</v>
      </c>
    </row>
    <row r="209" spans="4:42">
      <c r="D209" s="37" t="s">
        <v>113</v>
      </c>
      <c r="E209" s="35">
        <v>411.94</v>
      </c>
      <c r="F209" s="35">
        <v>30.880000000000003</v>
      </c>
      <c r="G209" s="35">
        <v>0</v>
      </c>
      <c r="H209" s="35">
        <v>0</v>
      </c>
      <c r="I209" s="35">
        <v>44.84</v>
      </c>
      <c r="M209" s="33">
        <f t="shared" si="83"/>
        <v>566.95560637236304</v>
      </c>
      <c r="N209" s="33">
        <f t="shared" si="83"/>
        <v>42.500337730685473</v>
      </c>
      <c r="O209" s="33">
        <f t="shared" si="83"/>
        <v>0</v>
      </c>
      <c r="P209" s="33">
        <f t="shared" si="83"/>
        <v>0</v>
      </c>
      <c r="Q209" s="33">
        <f t="shared" si="83"/>
        <v>61.713573311008304</v>
      </c>
      <c r="R209" s="56">
        <f>M209+N209+O209+P209+Q209</f>
        <v>671.16951741405683</v>
      </c>
      <c r="S209" s="40" t="s">
        <v>164</v>
      </c>
      <c r="T209" s="33">
        <f t="shared" si="84"/>
        <v>641.606458655795</v>
      </c>
      <c r="U209" s="33">
        <f t="shared" si="84"/>
        <v>5.0648070870765061</v>
      </c>
      <c r="V209" s="33">
        <f t="shared" si="84"/>
        <v>0</v>
      </c>
      <c r="W209" s="33">
        <f t="shared" si="84"/>
        <v>0</v>
      </c>
      <c r="X209" s="33">
        <f>IF($R209&gt;$R215,Q209,Q215)</f>
        <v>37.187795514349787</v>
      </c>
      <c r="AA209" s="33">
        <f>T209</f>
        <v>641.606458655795</v>
      </c>
      <c r="AB209" s="41" t="str">
        <f>"→"&amp;S206</f>
        <v>→市道114東</v>
      </c>
      <c r="AC209" s="65" t="str">
        <f>S209</f>
        <v>市道114西</v>
      </c>
      <c r="AD209" s="65"/>
      <c r="AE209" s="62"/>
      <c r="AF209" s="63"/>
      <c r="AG209" s="63"/>
      <c r="AH209" s="63"/>
      <c r="AI209" s="63"/>
      <c r="AJ209" s="63"/>
      <c r="AK209" s="69" t="str">
        <f>S206</f>
        <v>市道114東</v>
      </c>
      <c r="AL209" s="59" t="str">
        <f>"←"&amp;S209</f>
        <v>←市道114西</v>
      </c>
      <c r="AM209" s="33">
        <f>W206</f>
        <v>644.52422795595862</v>
      </c>
    </row>
    <row r="210" spans="4:42">
      <c r="D210" s="37" t="s">
        <v>79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M210" s="33">
        <f t="shared" si="83"/>
        <v>0</v>
      </c>
      <c r="N210" s="33">
        <f t="shared" si="83"/>
        <v>0</v>
      </c>
      <c r="O210" s="33">
        <f t="shared" si="83"/>
        <v>0</v>
      </c>
      <c r="P210" s="33">
        <f t="shared" si="83"/>
        <v>0</v>
      </c>
      <c r="Q210" s="33">
        <f t="shared" si="83"/>
        <v>0</v>
      </c>
      <c r="R210" s="56">
        <f>M210+N210+O210+P210+Q210</f>
        <v>0</v>
      </c>
      <c r="S210" s="40" t="s">
        <v>154</v>
      </c>
      <c r="T210" s="33">
        <f t="shared" si="84"/>
        <v>0</v>
      </c>
      <c r="U210" s="33">
        <f t="shared" si="84"/>
        <v>0</v>
      </c>
      <c r="V210" s="33">
        <f t="shared" si="84"/>
        <v>0</v>
      </c>
      <c r="W210" s="33">
        <f t="shared" si="84"/>
        <v>0</v>
      </c>
      <c r="X210" s="33">
        <f>IF($R210&gt;$R216,Q210,Q216)</f>
        <v>0</v>
      </c>
      <c r="AA210" s="33">
        <f>U209</f>
        <v>5.0648070870765061</v>
      </c>
      <c r="AB210" s="41" t="str">
        <f>"↘"&amp;S207</f>
        <v>↘中山東路二段130巷</v>
      </c>
      <c r="AC210" s="63"/>
      <c r="AD210" s="63"/>
      <c r="AE210" s="63"/>
      <c r="AF210" s="63"/>
      <c r="AG210" s="63"/>
      <c r="AH210" s="63"/>
      <c r="AI210" s="63"/>
      <c r="AJ210" s="63"/>
      <c r="AK210" s="63"/>
      <c r="AL210" s="59" t="str">
        <f>"↙"&amp;S208</f>
        <v>↙台66南</v>
      </c>
      <c r="AM210" s="33">
        <f>V206</f>
        <v>0</v>
      </c>
    </row>
    <row r="211" spans="4:42">
      <c r="T211" s="49" t="str">
        <f>S206</f>
        <v>市道114東</v>
      </c>
      <c r="U211" s="49" t="str">
        <f>S207</f>
        <v>中山東路二段130巷</v>
      </c>
      <c r="V211" s="49" t="str">
        <f>S208</f>
        <v>台66南</v>
      </c>
      <c r="W211" s="49" t="str">
        <f>S209</f>
        <v>市道114西</v>
      </c>
      <c r="X211" s="49" t="str">
        <f>S210</f>
        <v>台66北</v>
      </c>
      <c r="AA211" s="33">
        <f>V209</f>
        <v>0</v>
      </c>
      <c r="AB211" s="41" t="str">
        <f>"↘"&amp;S208</f>
        <v>↘台66南</v>
      </c>
      <c r="AC211" s="65"/>
      <c r="AD211" s="65" t="str">
        <f>S208</f>
        <v>台66南</v>
      </c>
      <c r="AE211" s="62"/>
      <c r="AF211" s="63"/>
      <c r="AG211" s="63"/>
      <c r="AH211" s="63"/>
      <c r="AI211" s="63"/>
      <c r="AJ211" s="75" t="str">
        <f>S207</f>
        <v>中山東路二段130巷</v>
      </c>
      <c r="AK211" s="63"/>
      <c r="AL211" s="59" t="str">
        <f>"↙"&amp;S207</f>
        <v>↙中山東路二段130巷</v>
      </c>
      <c r="AM211" s="33">
        <f>U206</f>
        <v>0</v>
      </c>
    </row>
    <row r="212" spans="4:42">
      <c r="D212" s="37" t="str">
        <f>D206</f>
        <v>(市道114)中山東路二段</v>
      </c>
      <c r="E212" s="35">
        <v>0</v>
      </c>
      <c r="F212" s="35">
        <v>0</v>
      </c>
      <c r="G212" s="35">
        <v>0</v>
      </c>
      <c r="H212" s="35">
        <v>378.22</v>
      </c>
      <c r="I212" s="35">
        <v>58.12</v>
      </c>
      <c r="M212" s="33">
        <f t="shared" ref="M212:Q216" si="85">E212*(1+$B$5)^($B$4-$B$3)</f>
        <v>0</v>
      </c>
      <c r="N212" s="33">
        <f t="shared" si="85"/>
        <v>0</v>
      </c>
      <c r="O212" s="33">
        <f t="shared" si="85"/>
        <v>0</v>
      </c>
      <c r="P212" s="33">
        <f t="shared" si="85"/>
        <v>520.5465588244773</v>
      </c>
      <c r="Q212" s="33">
        <f t="shared" si="85"/>
        <v>79.990920625240904</v>
      </c>
      <c r="R212" s="56">
        <f>M212+N212+O212+P212+Q212</f>
        <v>600.53747944971815</v>
      </c>
      <c r="AB212" s="41"/>
      <c r="AC212" s="47" t="str">
        <f>"↖"&amp;S209</f>
        <v>↖市道114西</v>
      </c>
      <c r="AD212" s="47" t="str">
        <f>"↑"&amp;S210</f>
        <v>↑台66北</v>
      </c>
      <c r="AE212" s="59" t="str">
        <f>"↗"&amp;S206</f>
        <v>↗市道114東</v>
      </c>
      <c r="AF212" s="59" t="str">
        <f>"⬎"&amp;S207</f>
        <v>⬎中山東路二段130巷</v>
      </c>
      <c r="AG212" s="44"/>
      <c r="AH212" s="47" t="str">
        <f>"⬐"&amp;S208</f>
        <v>⬐台66南</v>
      </c>
      <c r="AI212" s="47" t="str">
        <f>"↖"&amp;S209</f>
        <v>↖市道114西</v>
      </c>
      <c r="AJ212" s="47" t="str">
        <f>"↑"&amp;S210</f>
        <v>↑台66北</v>
      </c>
      <c r="AK212" s="43" t="str">
        <f>"↗"&amp;S206</f>
        <v>↗市道114東</v>
      </c>
      <c r="AL212" s="44"/>
    </row>
    <row r="213" spans="4:42">
      <c r="D213" s="37" t="str">
        <f>D207</f>
        <v>中山東路二段130巷</v>
      </c>
      <c r="E213" s="35">
        <v>56.44</v>
      </c>
      <c r="F213" s="35">
        <v>0</v>
      </c>
      <c r="G213" s="35">
        <v>0</v>
      </c>
      <c r="H213" s="35">
        <v>1.42</v>
      </c>
      <c r="I213" s="35">
        <v>2.84</v>
      </c>
      <c r="M213" s="33">
        <f t="shared" si="85"/>
        <v>77.678726085488591</v>
      </c>
      <c r="N213" s="33">
        <f t="shared" si="85"/>
        <v>0</v>
      </c>
      <c r="O213" s="33">
        <f t="shared" si="85"/>
        <v>0</v>
      </c>
      <c r="P213" s="33">
        <f t="shared" si="85"/>
        <v>1.9543549086001735</v>
      </c>
      <c r="Q213" s="33">
        <f t="shared" si="85"/>
        <v>3.9087098172003469</v>
      </c>
      <c r="R213" s="56">
        <f>M213+N213+O213+P213+Q213</f>
        <v>83.541790811289118</v>
      </c>
      <c r="AA213" s="57"/>
      <c r="AB213" s="57"/>
      <c r="AC213" s="58">
        <f>W208</f>
        <v>1212.3056180925189</v>
      </c>
      <c r="AD213" s="52">
        <f>X208</f>
        <v>538.3009097547183</v>
      </c>
      <c r="AE213" s="52">
        <f>T208</f>
        <v>107.21425871827712</v>
      </c>
      <c r="AF213" s="52">
        <f>U208</f>
        <v>30.471420898878765</v>
      </c>
      <c r="AH213" s="33">
        <f>V207</f>
        <v>0</v>
      </c>
      <c r="AI213" s="33">
        <f>W207</f>
        <v>1.9543549086001735</v>
      </c>
      <c r="AJ213" s="33">
        <f>X207</f>
        <v>3.9087098172003469</v>
      </c>
      <c r="AK213" s="33">
        <f>T207</f>
        <v>77.678726085488591</v>
      </c>
    </row>
    <row r="214" spans="4:42">
      <c r="D214" s="37" t="str">
        <f>D208</f>
        <v>台66</v>
      </c>
      <c r="E214" s="35">
        <v>24.24</v>
      </c>
      <c r="F214" s="35">
        <v>5</v>
      </c>
      <c r="G214" s="35">
        <v>0</v>
      </c>
      <c r="H214" s="35">
        <v>559.8599999999999</v>
      </c>
      <c r="I214" s="35">
        <v>140.36000000000001</v>
      </c>
      <c r="M214" s="33">
        <f t="shared" si="85"/>
        <v>33.361664073569159</v>
      </c>
      <c r="N214" s="33">
        <f t="shared" si="85"/>
        <v>6.8815313683104709</v>
      </c>
      <c r="O214" s="33">
        <f t="shared" si="85"/>
        <v>0</v>
      </c>
      <c r="P214" s="33">
        <f t="shared" si="85"/>
        <v>770.53883037245987</v>
      </c>
      <c r="Q214" s="33">
        <f t="shared" si="85"/>
        <v>193.17834857121156</v>
      </c>
      <c r="R214" s="56">
        <f>M214+N214+O214+P214+Q214</f>
        <v>1003.9603743855511</v>
      </c>
      <c r="AC214" s="33"/>
      <c r="AD214" s="33"/>
      <c r="AE214" s="33"/>
      <c r="AF214" s="33"/>
    </row>
    <row r="215" spans="4:42">
      <c r="D215" s="37" t="str">
        <f>D209</f>
        <v>中山東路二段</v>
      </c>
      <c r="E215" s="35">
        <v>466.17999999999995</v>
      </c>
      <c r="F215" s="35">
        <v>3.6799999999999997</v>
      </c>
      <c r="G215" s="35">
        <v>0</v>
      </c>
      <c r="H215" s="35">
        <v>0</v>
      </c>
      <c r="I215" s="35">
        <v>27.020000000000003</v>
      </c>
      <c r="M215" s="33">
        <f t="shared" si="85"/>
        <v>641.606458655795</v>
      </c>
      <c r="N215" s="33">
        <f t="shared" si="85"/>
        <v>5.0648070870765061</v>
      </c>
      <c r="O215" s="33">
        <f t="shared" si="85"/>
        <v>0</v>
      </c>
      <c r="P215" s="33">
        <f t="shared" si="85"/>
        <v>0</v>
      </c>
      <c r="Q215" s="33">
        <f t="shared" si="85"/>
        <v>37.187795514349787</v>
      </c>
      <c r="R215" s="56">
        <f>M215+N215+O215+P215+Q215</f>
        <v>683.85906125722124</v>
      </c>
    </row>
    <row r="216" spans="4:42">
      <c r="D216" s="37" t="str">
        <f>D210</f>
        <v>台66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M216" s="33">
        <f t="shared" si="85"/>
        <v>0</v>
      </c>
      <c r="N216" s="33">
        <f t="shared" si="85"/>
        <v>0</v>
      </c>
      <c r="O216" s="33">
        <f t="shared" si="85"/>
        <v>0</v>
      </c>
      <c r="P216" s="33">
        <f t="shared" si="85"/>
        <v>0</v>
      </c>
      <c r="Q216" s="33">
        <f t="shared" si="85"/>
        <v>0</v>
      </c>
      <c r="R216" s="56">
        <f>M216+N216+O216+P216+Q216</f>
        <v>0</v>
      </c>
      <c r="AA216" s="33"/>
    </row>
    <row r="218" spans="4:42">
      <c r="E218" s="177" t="s">
        <v>166</v>
      </c>
      <c r="F218" s="178"/>
      <c r="G218" s="178"/>
      <c r="H218" s="178"/>
      <c r="I218" s="178"/>
      <c r="J218" s="178"/>
      <c r="M218" s="177" t="str">
        <f>E218</f>
        <v>桃109/桃110</v>
      </c>
      <c r="N218" s="178"/>
      <c r="O218" s="178"/>
      <c r="P218" s="178"/>
      <c r="Q218" s="178"/>
      <c r="R218" s="178"/>
      <c r="U218" s="177" t="str">
        <f>M218</f>
        <v>桃109/桃110</v>
      </c>
      <c r="V218" s="178"/>
      <c r="W218" s="178"/>
      <c r="X218" s="178"/>
      <c r="Y218" s="178"/>
      <c r="Z218" s="178"/>
      <c r="AB218" s="177" t="str">
        <f>U218</f>
        <v>桃109/桃110</v>
      </c>
      <c r="AC218" s="178"/>
      <c r="AD218" s="178"/>
      <c r="AE218" s="178"/>
      <c r="AF218" s="178"/>
      <c r="AG218" s="178"/>
      <c r="AH218" s="178"/>
      <c r="AI218" s="178"/>
      <c r="AJ218" s="178"/>
      <c r="AK218" s="178"/>
      <c r="AL218" s="178"/>
      <c r="AM218" s="178"/>
      <c r="AN218" s="178"/>
      <c r="AO218" s="178"/>
      <c r="AP218" s="178"/>
    </row>
    <row r="219" spans="4:42">
      <c r="D219" s="37" t="s">
        <v>167</v>
      </c>
      <c r="E219" s="35">
        <v>0</v>
      </c>
      <c r="F219" s="35">
        <v>6.1</v>
      </c>
      <c r="G219" s="35">
        <v>16.759999999999998</v>
      </c>
      <c r="H219" s="35">
        <v>265.76</v>
      </c>
      <c r="I219" s="35">
        <v>6.88</v>
      </c>
      <c r="J219" s="35">
        <v>28.759999999999998</v>
      </c>
      <c r="M219" s="33">
        <f t="shared" ref="M219:R224" si="86">E219*(1+$B$5)^($B$4-$B$3)</f>
        <v>0</v>
      </c>
      <c r="N219" s="33">
        <f t="shared" si="86"/>
        <v>8.3954682693387745</v>
      </c>
      <c r="O219" s="33">
        <f t="shared" si="86"/>
        <v>23.066893146576696</v>
      </c>
      <c r="P219" s="33">
        <f t="shared" si="86"/>
        <v>365.76715528843812</v>
      </c>
      <c r="Q219" s="33">
        <f t="shared" si="86"/>
        <v>9.4689871627952069</v>
      </c>
      <c r="R219" s="33">
        <f t="shared" si="86"/>
        <v>39.582568430521825</v>
      </c>
      <c r="S219" s="56">
        <f t="shared" ref="S219:S224" si="87">M219+N219+O219+P219+Q219+R219</f>
        <v>446.28107229767062</v>
      </c>
      <c r="T219" s="49" t="s">
        <v>173</v>
      </c>
      <c r="U219" s="33">
        <f t="shared" ref="U219:U224" si="88">IF($S219&gt;$S226,M219,M226)</f>
        <v>0</v>
      </c>
      <c r="V219" s="33">
        <f t="shared" ref="V219:Z224" si="89">IF($S219&gt;$S226,N219,N226)</f>
        <v>8.3954682693387745</v>
      </c>
      <c r="W219" s="33">
        <f t="shared" si="89"/>
        <v>23.066893146576696</v>
      </c>
      <c r="X219" s="33">
        <f t="shared" si="89"/>
        <v>365.76715528843812</v>
      </c>
      <c r="Y219" s="33">
        <f t="shared" si="89"/>
        <v>9.4689871627952069</v>
      </c>
      <c r="Z219" s="33">
        <f t="shared" si="89"/>
        <v>39.582568430521825</v>
      </c>
      <c r="AD219" s="52">
        <f>X223</f>
        <v>14.258532995139294</v>
      </c>
      <c r="AE219" s="52">
        <f>W223</f>
        <v>0.57804863493807956</v>
      </c>
      <c r="AF219" s="33">
        <f>V223</f>
        <v>10.927871812877026</v>
      </c>
      <c r="AG219" s="52">
        <f>U223</f>
        <v>27.140759716616493</v>
      </c>
      <c r="AH219" s="52">
        <f>Z223</f>
        <v>31.792674921594376</v>
      </c>
      <c r="AI219" s="1"/>
      <c r="AJ219" s="52">
        <f>Y224</f>
        <v>3.9087098172003469</v>
      </c>
      <c r="AK219" s="52">
        <f>X224</f>
        <v>215.74977145926985</v>
      </c>
      <c r="AL219" s="52">
        <f>W224</f>
        <v>15.910100523533806</v>
      </c>
      <c r="AM219" s="52">
        <f>V224</f>
        <v>75.008691914584134</v>
      </c>
      <c r="AN219" s="33">
        <f>U224</f>
        <v>18.167242812339641</v>
      </c>
    </row>
    <row r="220" spans="4:42" ht="16.5" customHeight="1">
      <c r="D220" s="37" t="s">
        <v>168</v>
      </c>
      <c r="E220" s="35">
        <v>4.9399999999999995</v>
      </c>
      <c r="F220" s="35">
        <v>0</v>
      </c>
      <c r="G220" s="35">
        <v>1.68</v>
      </c>
      <c r="H220" s="35">
        <v>49.52</v>
      </c>
      <c r="I220" s="35">
        <v>1.8399999999999999</v>
      </c>
      <c r="J220" s="35">
        <v>52.2</v>
      </c>
      <c r="M220" s="33">
        <f t="shared" si="86"/>
        <v>6.7989529918907445</v>
      </c>
      <c r="N220" s="33">
        <f t="shared" si="86"/>
        <v>0</v>
      </c>
      <c r="O220" s="33">
        <f t="shared" si="86"/>
        <v>2.3121945397523183</v>
      </c>
      <c r="P220" s="33">
        <f t="shared" si="86"/>
        <v>68.154686671746902</v>
      </c>
      <c r="Q220" s="33">
        <f t="shared" si="86"/>
        <v>2.532403543538253</v>
      </c>
      <c r="R220" s="33">
        <f t="shared" si="86"/>
        <v>71.843187485161323</v>
      </c>
      <c r="S220" s="56">
        <f t="shared" si="87"/>
        <v>151.64142523208955</v>
      </c>
      <c r="T220" s="49" t="s">
        <v>168</v>
      </c>
      <c r="U220" s="33">
        <f t="shared" si="88"/>
        <v>9.771774543000868</v>
      </c>
      <c r="V220" s="33">
        <f t="shared" si="89"/>
        <v>0</v>
      </c>
      <c r="W220" s="33">
        <f t="shared" si="89"/>
        <v>6.2209043569526647</v>
      </c>
      <c r="X220" s="33">
        <f t="shared" si="89"/>
        <v>84.450152951906091</v>
      </c>
      <c r="Y220" s="33">
        <f t="shared" si="89"/>
        <v>6.5787439881048089</v>
      </c>
      <c r="Z220" s="33">
        <f t="shared" si="89"/>
        <v>82.771059298038338</v>
      </c>
      <c r="AC220" s="41"/>
      <c r="AD220" s="54" t="str">
        <f>"↙"&amp;AD223</f>
        <v>↙桃109西</v>
      </c>
      <c r="AE220" s="54" t="str">
        <f>"↓"&amp;AE225</f>
        <v>↓富源街</v>
      </c>
      <c r="AF220" s="55" t="str">
        <f>"↘"&amp;AM225</f>
        <v>↘中正路</v>
      </c>
      <c r="AG220" s="54" t="str">
        <f>"→"&amp;AN223</f>
        <v>→桃110</v>
      </c>
      <c r="AH220" s="55" t="str">
        <f>"⬏"&amp;AM221</f>
        <v>⬏桃109東</v>
      </c>
      <c r="AI220" s="44"/>
      <c r="AJ220" s="54" t="str">
        <f>"⬑"&amp;AE221</f>
        <v>⬑信義街</v>
      </c>
      <c r="AK220" s="55" t="str">
        <f>"←"&amp;AD223</f>
        <v>←桃109西</v>
      </c>
      <c r="AL220" s="54" t="str">
        <f>"↙"&amp;AE225</f>
        <v>↙富源街</v>
      </c>
      <c r="AM220" s="54" t="str">
        <f>"↓"&amp;AM225</f>
        <v>↓中正路</v>
      </c>
      <c r="AN220" s="55" t="str">
        <f>"↘"&amp;AN223</f>
        <v>↘桃110</v>
      </c>
      <c r="AO220" s="44"/>
    </row>
    <row r="221" spans="4:42" ht="16.5" customHeight="1">
      <c r="D221" s="37" t="s">
        <v>169</v>
      </c>
      <c r="E221" s="35">
        <v>15.5</v>
      </c>
      <c r="F221" s="35">
        <v>3.94</v>
      </c>
      <c r="G221" s="35">
        <v>0</v>
      </c>
      <c r="H221" s="35">
        <v>26.96</v>
      </c>
      <c r="I221" s="35">
        <v>0</v>
      </c>
      <c r="J221" s="35">
        <v>15.34</v>
      </c>
      <c r="M221" s="33">
        <f t="shared" si="86"/>
        <v>21.332747241762458</v>
      </c>
      <c r="N221" s="33">
        <f t="shared" si="86"/>
        <v>5.4226467182286511</v>
      </c>
      <c r="O221" s="33">
        <f t="shared" si="86"/>
        <v>0</v>
      </c>
      <c r="P221" s="33">
        <f t="shared" si="86"/>
        <v>37.105217137930062</v>
      </c>
      <c r="Q221" s="33">
        <f t="shared" si="86"/>
        <v>0</v>
      </c>
      <c r="R221" s="33">
        <f t="shared" si="86"/>
        <v>21.112538237976523</v>
      </c>
      <c r="S221" s="56">
        <f t="shared" si="87"/>
        <v>84.973149335897688</v>
      </c>
      <c r="T221" s="49" t="s">
        <v>169</v>
      </c>
      <c r="U221" s="33">
        <f t="shared" si="88"/>
        <v>21.332747241762458</v>
      </c>
      <c r="V221" s="33">
        <f t="shared" si="89"/>
        <v>5.4226467182286511</v>
      </c>
      <c r="W221" s="33">
        <f t="shared" si="89"/>
        <v>0</v>
      </c>
      <c r="X221" s="33">
        <f t="shared" si="89"/>
        <v>37.105217137930062</v>
      </c>
      <c r="Y221" s="33">
        <f t="shared" si="89"/>
        <v>0</v>
      </c>
      <c r="Z221" s="33">
        <f t="shared" si="89"/>
        <v>21.112538237976523</v>
      </c>
      <c r="AB221" s="33">
        <f>Y223</f>
        <v>0</v>
      </c>
      <c r="AC221" s="53" t="str">
        <f>"↗"&amp;AE221</f>
        <v>↗信義街</v>
      </c>
      <c r="AD221" s="60"/>
      <c r="AE221" s="61" t="str">
        <f>T223</f>
        <v>信義街</v>
      </c>
      <c r="AF221" s="62"/>
      <c r="AG221" s="62"/>
      <c r="AH221" s="63"/>
      <c r="AI221" s="63"/>
      <c r="AJ221" s="63"/>
      <c r="AK221" s="64"/>
      <c r="AL221" s="63"/>
      <c r="AM221" s="61" t="str">
        <f>T224</f>
        <v>桃109東</v>
      </c>
      <c r="AN221" s="63"/>
      <c r="AO221" s="76" t="str">
        <f>"↖"&amp;AM221</f>
        <v>↖桃109東</v>
      </c>
      <c r="AP221" s="33">
        <f>Z219</f>
        <v>39.582568430521825</v>
      </c>
    </row>
    <row r="222" spans="4:42" ht="16.5" customHeight="1">
      <c r="D222" s="37" t="s">
        <v>170</v>
      </c>
      <c r="E222" s="35">
        <v>149.35999999999999</v>
      </c>
      <c r="F222" s="35">
        <v>52.599999999999994</v>
      </c>
      <c r="G222" s="35">
        <v>43.32</v>
      </c>
      <c r="H222" s="35">
        <v>0</v>
      </c>
      <c r="I222" s="35">
        <v>8.26</v>
      </c>
      <c r="J222" s="35">
        <v>150.80000000000001</v>
      </c>
      <c r="M222" s="33">
        <f t="shared" si="86"/>
        <v>205.56510503417036</v>
      </c>
      <c r="N222" s="33">
        <f t="shared" si="86"/>
        <v>72.39370999462615</v>
      </c>
      <c r="O222" s="33">
        <f t="shared" si="86"/>
        <v>59.621587775041917</v>
      </c>
      <c r="P222" s="33">
        <f t="shared" si="86"/>
        <v>0</v>
      </c>
      <c r="Q222" s="33">
        <f t="shared" si="86"/>
        <v>11.368289820448897</v>
      </c>
      <c r="R222" s="33">
        <f t="shared" si="86"/>
        <v>207.5469860682438</v>
      </c>
      <c r="S222" s="56">
        <f t="shared" si="87"/>
        <v>556.4956786925311</v>
      </c>
      <c r="T222" s="49" t="s">
        <v>174</v>
      </c>
      <c r="U222" s="33">
        <f t="shared" si="88"/>
        <v>267.41630897254493</v>
      </c>
      <c r="V222" s="33">
        <f t="shared" si="89"/>
        <v>115.6097269876159</v>
      </c>
      <c r="W222" s="33">
        <f t="shared" si="89"/>
        <v>36.692325255831427</v>
      </c>
      <c r="X222" s="33">
        <f t="shared" si="89"/>
        <v>0</v>
      </c>
      <c r="Y222" s="33">
        <f t="shared" si="89"/>
        <v>13.680484360201214</v>
      </c>
      <c r="Z222" s="33">
        <f t="shared" si="89"/>
        <v>244.12920682218225</v>
      </c>
      <c r="AB222" s="33">
        <f>Z223</f>
        <v>31.792674921594376</v>
      </c>
      <c r="AC222" s="53" t="str">
        <f>"↗"&amp;AM221</f>
        <v>↗桃109東</v>
      </c>
      <c r="AD222" s="63"/>
      <c r="AE222" s="63"/>
      <c r="AF222" s="63"/>
      <c r="AG222" s="64"/>
      <c r="AH222" s="63"/>
      <c r="AI222" s="63"/>
      <c r="AJ222" s="63"/>
      <c r="AK222" s="64"/>
      <c r="AL222" s="63"/>
      <c r="AM222" s="63"/>
      <c r="AN222" s="63"/>
      <c r="AO222" s="76" t="str">
        <f>"↖"&amp;AE221</f>
        <v>↖信義街</v>
      </c>
      <c r="AP222" s="33">
        <f>Y219</f>
        <v>9.4689871627952069</v>
      </c>
    </row>
    <row r="223" spans="4:42" ht="16.5" customHeight="1">
      <c r="D223" s="37" t="s">
        <v>171</v>
      </c>
      <c r="E223" s="35">
        <v>19.72</v>
      </c>
      <c r="F223" s="35">
        <v>7.9399999999999995</v>
      </c>
      <c r="G223" s="35">
        <v>0.42</v>
      </c>
      <c r="H223" s="35">
        <v>10.36</v>
      </c>
      <c r="I223" s="35">
        <v>0</v>
      </c>
      <c r="J223" s="35">
        <v>23.1</v>
      </c>
      <c r="M223" s="33">
        <f t="shared" si="86"/>
        <v>27.140759716616493</v>
      </c>
      <c r="N223" s="33">
        <f t="shared" si="86"/>
        <v>10.927871812877026</v>
      </c>
      <c r="O223" s="33">
        <f t="shared" si="86"/>
        <v>0.57804863493807956</v>
      </c>
      <c r="P223" s="33">
        <f t="shared" si="86"/>
        <v>14.258532995139294</v>
      </c>
      <c r="Q223" s="33">
        <f t="shared" si="86"/>
        <v>0</v>
      </c>
      <c r="R223" s="33">
        <f t="shared" si="86"/>
        <v>31.792674921594376</v>
      </c>
      <c r="S223" s="56">
        <f t="shared" si="87"/>
        <v>84.697888081165274</v>
      </c>
      <c r="T223" s="49" t="s">
        <v>171</v>
      </c>
      <c r="U223" s="33">
        <f t="shared" si="88"/>
        <v>27.140759716616493</v>
      </c>
      <c r="V223" s="33">
        <f t="shared" si="89"/>
        <v>10.927871812877026</v>
      </c>
      <c r="W223" s="33">
        <f t="shared" si="89"/>
        <v>0.57804863493807956</v>
      </c>
      <c r="X223" s="33">
        <f t="shared" si="89"/>
        <v>14.258532995139294</v>
      </c>
      <c r="Y223" s="33">
        <f t="shared" si="89"/>
        <v>0</v>
      </c>
      <c r="Z223" s="33">
        <f t="shared" si="89"/>
        <v>31.792674921594376</v>
      </c>
      <c r="AB223" s="33">
        <f>U223</f>
        <v>27.140759716616493</v>
      </c>
      <c r="AC223" s="53" t="str">
        <f>"→"&amp;AN223</f>
        <v>→桃110</v>
      </c>
      <c r="AD223" s="65" t="str">
        <f>T222</f>
        <v>桃109西</v>
      </c>
      <c r="AE223" s="65"/>
      <c r="AF223" s="62"/>
      <c r="AG223" s="62"/>
      <c r="AH223" s="63"/>
      <c r="AI223" s="63"/>
      <c r="AJ223" s="63"/>
      <c r="AK223" s="64"/>
      <c r="AL223" s="63"/>
      <c r="AM223" s="63"/>
      <c r="AN223" s="61" t="str">
        <f>T219</f>
        <v>桃110</v>
      </c>
      <c r="AO223" s="76" t="str">
        <f>"←"&amp;AD223</f>
        <v>←桃109西</v>
      </c>
      <c r="AP223" s="33">
        <f>X219</f>
        <v>365.76715528843812</v>
      </c>
    </row>
    <row r="224" spans="4:42">
      <c r="D224" s="37" t="s">
        <v>172</v>
      </c>
      <c r="E224" s="35">
        <v>13.2</v>
      </c>
      <c r="F224" s="35">
        <v>54.5</v>
      </c>
      <c r="G224" s="35">
        <v>11.559999999999999</v>
      </c>
      <c r="H224" s="35">
        <v>156.76</v>
      </c>
      <c r="I224" s="35">
        <v>2.84</v>
      </c>
      <c r="J224" s="35">
        <v>0</v>
      </c>
      <c r="M224" s="33">
        <f t="shared" si="86"/>
        <v>18.167242812339641</v>
      </c>
      <c r="N224" s="33">
        <f t="shared" si="86"/>
        <v>75.008691914584134</v>
      </c>
      <c r="O224" s="33">
        <f t="shared" si="86"/>
        <v>15.910100523533806</v>
      </c>
      <c r="P224" s="33">
        <f t="shared" si="86"/>
        <v>215.74977145926985</v>
      </c>
      <c r="Q224" s="33">
        <f t="shared" si="86"/>
        <v>3.9087098172003469</v>
      </c>
      <c r="R224" s="33">
        <f t="shared" si="86"/>
        <v>0</v>
      </c>
      <c r="S224" s="56">
        <f t="shared" si="87"/>
        <v>328.74451652692778</v>
      </c>
      <c r="T224" s="49" t="s">
        <v>175</v>
      </c>
      <c r="U224" s="33">
        <f t="shared" si="88"/>
        <v>18.167242812339641</v>
      </c>
      <c r="V224" s="33">
        <f t="shared" si="89"/>
        <v>75.008691914584134</v>
      </c>
      <c r="W224" s="33">
        <f t="shared" si="89"/>
        <v>15.910100523533806</v>
      </c>
      <c r="X224" s="33">
        <f t="shared" si="89"/>
        <v>215.74977145926985</v>
      </c>
      <c r="Y224" s="33">
        <f t="shared" si="89"/>
        <v>3.9087098172003469</v>
      </c>
      <c r="Z224" s="33">
        <f t="shared" si="89"/>
        <v>0</v>
      </c>
      <c r="AB224" s="33">
        <f>V223</f>
        <v>10.927871812877026</v>
      </c>
      <c r="AC224" s="53" t="str">
        <f>"↘"&amp;AM225</f>
        <v>↘中正路</v>
      </c>
      <c r="AD224" s="63"/>
      <c r="AE224" s="63"/>
      <c r="AF224" s="62"/>
      <c r="AG224" s="62"/>
      <c r="AH224" s="63"/>
      <c r="AI224" s="63"/>
      <c r="AJ224" s="63"/>
      <c r="AK224" s="64"/>
      <c r="AL224" s="63"/>
      <c r="AM224" s="63"/>
      <c r="AN224" s="63"/>
      <c r="AO224" s="76" t="str">
        <f>"↙"&amp;AE225</f>
        <v>↙富源街</v>
      </c>
      <c r="AP224" s="33">
        <f>W219</f>
        <v>23.066893146576696</v>
      </c>
    </row>
    <row r="225" spans="4:42">
      <c r="U225" s="39" t="str">
        <f>T219</f>
        <v>桃110</v>
      </c>
      <c r="V225" s="39" t="str">
        <f>T220</f>
        <v>中正路</v>
      </c>
      <c r="W225" s="39" t="str">
        <f>T221</f>
        <v>富源街</v>
      </c>
      <c r="X225" s="39" t="str">
        <f>T222</f>
        <v>桃109西</v>
      </c>
      <c r="Y225" s="39" t="str">
        <f>T223</f>
        <v>信義街</v>
      </c>
      <c r="Z225" s="39" t="str">
        <f>T224</f>
        <v>桃109東</v>
      </c>
      <c r="AB225" s="33">
        <f>W223</f>
        <v>0.57804863493807956</v>
      </c>
      <c r="AC225" s="53" t="str">
        <f>"↘"&amp;AE225</f>
        <v>↘富源街</v>
      </c>
      <c r="AD225" s="65"/>
      <c r="AE225" s="65" t="str">
        <f>T221</f>
        <v>富源街</v>
      </c>
      <c r="AF225" s="63"/>
      <c r="AG225" s="64"/>
      <c r="AH225" s="63"/>
      <c r="AI225" s="63"/>
      <c r="AJ225" s="63"/>
      <c r="AK225" s="64"/>
      <c r="AL225" s="63"/>
      <c r="AM225" s="61" t="str">
        <f>T220</f>
        <v>中正路</v>
      </c>
      <c r="AN225" s="63"/>
      <c r="AO225" s="76" t="str">
        <f>"↙"&amp;AM225</f>
        <v>↙中正路</v>
      </c>
      <c r="AP225" s="33">
        <f>V219</f>
        <v>8.3954682693387745</v>
      </c>
    </row>
    <row r="226" spans="4:42">
      <c r="D226" s="37" t="str">
        <f t="shared" ref="D226:D231" si="90">D219</f>
        <v>(桃110)信義街</v>
      </c>
      <c r="E226" s="35">
        <v>0</v>
      </c>
      <c r="F226" s="35">
        <v>10.1</v>
      </c>
      <c r="G226" s="35">
        <v>12.719999999999999</v>
      </c>
      <c r="H226" s="35">
        <v>159.36000000000001</v>
      </c>
      <c r="I226" s="35">
        <v>9.7799999999999994</v>
      </c>
      <c r="J226" s="35">
        <v>29.46</v>
      </c>
      <c r="M226" s="33">
        <f t="shared" ref="M226:R231" si="91">E226*(1+$B$5)^($B$4-$B$3)</f>
        <v>0</v>
      </c>
      <c r="N226" s="33">
        <f t="shared" si="91"/>
        <v>13.90069336398715</v>
      </c>
      <c r="O226" s="33">
        <f t="shared" si="91"/>
        <v>17.506615800981837</v>
      </c>
      <c r="P226" s="33">
        <f t="shared" si="91"/>
        <v>219.32816777079134</v>
      </c>
      <c r="Q226" s="33">
        <f t="shared" si="91"/>
        <v>13.460275356415279</v>
      </c>
      <c r="R226" s="33">
        <f t="shared" si="91"/>
        <v>40.545982822085293</v>
      </c>
      <c r="S226" s="56">
        <f t="shared" ref="S226:S231" si="92">M226+N226+O226+P226+Q226+R226</f>
        <v>304.7417351142609</v>
      </c>
      <c r="AC226" s="41"/>
      <c r="AD226" s="47" t="str">
        <f>"↖"&amp;AD223</f>
        <v>↖桃109西</v>
      </c>
      <c r="AE226" s="47" t="str">
        <f>"↑"&amp;AE221</f>
        <v>↑信義街</v>
      </c>
      <c r="AF226" s="55" t="str">
        <f>"↗"&amp;AM221</f>
        <v>↗桃109東</v>
      </c>
      <c r="AG226" s="54" t="str">
        <f>"→"&amp;AN223</f>
        <v>→桃110</v>
      </c>
      <c r="AH226" s="55" t="str">
        <f>"⬎"&amp;AM225</f>
        <v>⬎中正路</v>
      </c>
      <c r="AI226" s="44"/>
      <c r="AJ226" s="47" t="str">
        <f>"⬐"&amp;AE225</f>
        <v>⬐富源街</v>
      </c>
      <c r="AK226" s="55" t="str">
        <f>"←"&amp;AD223</f>
        <v>←桃109西</v>
      </c>
      <c r="AL226" s="47" t="str">
        <f>"↖"&amp;AE221</f>
        <v>↖信義街</v>
      </c>
      <c r="AM226" s="47" t="str">
        <f>"↑"&amp;AM221</f>
        <v>↑桃109東</v>
      </c>
      <c r="AN226" s="55" t="str">
        <f>"↗"&amp;AN223</f>
        <v>↗桃110</v>
      </c>
      <c r="AO226" s="44"/>
    </row>
    <row r="227" spans="4:42">
      <c r="D227" s="37" t="str">
        <f t="shared" si="90"/>
        <v>中正路</v>
      </c>
      <c r="E227" s="35">
        <v>7.1</v>
      </c>
      <c r="F227" s="35">
        <v>0</v>
      </c>
      <c r="G227" s="35">
        <v>4.5199999999999996</v>
      </c>
      <c r="H227" s="35">
        <v>61.36</v>
      </c>
      <c r="I227" s="35">
        <v>4.7799999999999994</v>
      </c>
      <c r="J227" s="35">
        <v>60.14</v>
      </c>
      <c r="M227" s="33">
        <f t="shared" si="91"/>
        <v>9.771774543000868</v>
      </c>
      <c r="N227" s="33">
        <f t="shared" si="91"/>
        <v>0</v>
      </c>
      <c r="O227" s="33">
        <f t="shared" si="91"/>
        <v>6.2209043569526647</v>
      </c>
      <c r="P227" s="33">
        <f t="shared" si="91"/>
        <v>84.450152951906091</v>
      </c>
      <c r="Q227" s="33">
        <f t="shared" si="91"/>
        <v>6.5787439881048089</v>
      </c>
      <c r="R227" s="33">
        <f t="shared" si="91"/>
        <v>82.771059298038338</v>
      </c>
      <c r="S227" s="56">
        <f t="shared" si="92"/>
        <v>189.79263513800277</v>
      </c>
      <c r="AB227" s="57"/>
      <c r="AC227" s="57"/>
      <c r="AD227" s="58">
        <f>X221</f>
        <v>37.105217137930062</v>
      </c>
      <c r="AE227" s="52">
        <f>Y221</f>
        <v>0</v>
      </c>
      <c r="AF227" s="52">
        <f>Z221</f>
        <v>21.112538237976523</v>
      </c>
      <c r="AG227" s="52">
        <f>U221</f>
        <v>21.332747241762458</v>
      </c>
      <c r="AH227" s="52">
        <f>V221</f>
        <v>5.4226467182286511</v>
      </c>
      <c r="AJ227" s="33">
        <f>W220</f>
        <v>6.2209043569526647</v>
      </c>
      <c r="AK227" s="33">
        <f>X220</f>
        <v>84.450152951906091</v>
      </c>
      <c r="AL227" s="33">
        <f>Y220</f>
        <v>6.5787439881048089</v>
      </c>
      <c r="AM227" s="33">
        <f>Z220</f>
        <v>82.771059298038338</v>
      </c>
      <c r="AN227" s="33">
        <f>U220</f>
        <v>9.771774543000868</v>
      </c>
    </row>
    <row r="228" spans="4:42">
      <c r="D228" s="37" t="str">
        <f t="shared" si="90"/>
        <v>富源街</v>
      </c>
      <c r="E228" s="35">
        <v>13.620000000000001</v>
      </c>
      <c r="F228" s="35">
        <v>5.52</v>
      </c>
      <c r="G228" s="35">
        <v>0</v>
      </c>
      <c r="H228" s="35">
        <v>17.399999999999999</v>
      </c>
      <c r="I228" s="35">
        <v>0.42</v>
      </c>
      <c r="J228" s="35">
        <v>13.879999999999999</v>
      </c>
      <c r="M228" s="33">
        <f t="shared" si="91"/>
        <v>18.745291447277722</v>
      </c>
      <c r="N228" s="33">
        <f t="shared" si="91"/>
        <v>7.5972106306147591</v>
      </c>
      <c r="O228" s="33">
        <f t="shared" si="91"/>
        <v>0</v>
      </c>
      <c r="P228" s="33">
        <f t="shared" si="91"/>
        <v>23.947729161720435</v>
      </c>
      <c r="Q228" s="33">
        <f t="shared" si="91"/>
        <v>0.57804863493807956</v>
      </c>
      <c r="R228" s="33">
        <f t="shared" si="91"/>
        <v>19.103131078429865</v>
      </c>
      <c r="S228" s="56">
        <f t="shared" si="92"/>
        <v>69.971410952980861</v>
      </c>
    </row>
    <row r="229" spans="4:42">
      <c r="D229" s="37" t="str">
        <f t="shared" si="90"/>
        <v>(桃109)中正路</v>
      </c>
      <c r="E229" s="35">
        <v>194.3</v>
      </c>
      <c r="F229" s="35">
        <v>84</v>
      </c>
      <c r="G229" s="35">
        <v>26.66</v>
      </c>
      <c r="H229" s="35">
        <v>0</v>
      </c>
      <c r="I229" s="35">
        <v>9.94</v>
      </c>
      <c r="J229" s="35">
        <v>177.38</v>
      </c>
      <c r="M229" s="33">
        <f t="shared" si="91"/>
        <v>267.41630897254493</v>
      </c>
      <c r="N229" s="33">
        <f t="shared" si="91"/>
        <v>115.6097269876159</v>
      </c>
      <c r="O229" s="33">
        <f t="shared" si="91"/>
        <v>36.692325255831427</v>
      </c>
      <c r="P229" s="33">
        <f t="shared" si="91"/>
        <v>0</v>
      </c>
      <c r="Q229" s="33">
        <f t="shared" si="91"/>
        <v>13.680484360201214</v>
      </c>
      <c r="R229" s="33">
        <f t="shared" si="91"/>
        <v>244.12920682218225</v>
      </c>
      <c r="S229" s="56">
        <f t="shared" si="92"/>
        <v>677.52805239837562</v>
      </c>
    </row>
    <row r="230" spans="4:42">
      <c r="D230" s="37" t="str">
        <f t="shared" si="90"/>
        <v>信義街</v>
      </c>
      <c r="E230" s="35">
        <v>8.1999999999999993</v>
      </c>
      <c r="F230" s="35">
        <v>6.3599999999999994</v>
      </c>
      <c r="G230" s="35">
        <v>0</v>
      </c>
      <c r="H230" s="35">
        <v>4.0999999999999996</v>
      </c>
      <c r="I230" s="35">
        <v>0</v>
      </c>
      <c r="J230" s="35">
        <v>0.42</v>
      </c>
      <c r="M230" s="33">
        <f t="shared" si="91"/>
        <v>11.285711444029172</v>
      </c>
      <c r="N230" s="33">
        <f t="shared" si="91"/>
        <v>8.7533079004909187</v>
      </c>
      <c r="O230" s="33">
        <f t="shared" si="91"/>
        <v>0</v>
      </c>
      <c r="P230" s="33">
        <f t="shared" si="91"/>
        <v>5.6428557220145859</v>
      </c>
      <c r="Q230" s="33">
        <f t="shared" si="91"/>
        <v>0</v>
      </c>
      <c r="R230" s="33">
        <f t="shared" si="91"/>
        <v>0.57804863493807956</v>
      </c>
      <c r="S230" s="56">
        <f t="shared" si="92"/>
        <v>26.259923701472758</v>
      </c>
    </row>
    <row r="231" spans="4:42">
      <c r="D231" s="37" t="str">
        <f t="shared" si="90"/>
        <v>民生街</v>
      </c>
      <c r="E231" s="35">
        <v>13.620000000000001</v>
      </c>
      <c r="F231" s="35">
        <v>65.240000000000009</v>
      </c>
      <c r="G231" s="35">
        <v>7.62</v>
      </c>
      <c r="H231" s="35">
        <v>88.6</v>
      </c>
      <c r="I231" s="35">
        <v>8.94</v>
      </c>
      <c r="J231" s="35">
        <v>0</v>
      </c>
      <c r="M231" s="33">
        <f t="shared" si="91"/>
        <v>18.745291447277722</v>
      </c>
      <c r="N231" s="33">
        <f t="shared" si="91"/>
        <v>89.790221293715035</v>
      </c>
      <c r="O231" s="33">
        <f t="shared" si="91"/>
        <v>10.487453805305158</v>
      </c>
      <c r="P231" s="33">
        <f t="shared" si="91"/>
        <v>121.94073584646154</v>
      </c>
      <c r="Q231" s="33">
        <f t="shared" si="91"/>
        <v>12.304178086539121</v>
      </c>
      <c r="R231" s="33">
        <f t="shared" si="91"/>
        <v>0</v>
      </c>
      <c r="S231" s="56">
        <f t="shared" si="92"/>
        <v>253.26788047929855</v>
      </c>
    </row>
    <row r="234" spans="4:42">
      <c r="E234" s="87" t="s">
        <v>189</v>
      </c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3"/>
    </row>
    <row r="235" spans="4:42">
      <c r="F235" s="14" t="e">
        <f>MAX(#REF!,#REF!)</f>
        <v>#REF!</v>
      </c>
      <c r="G235" s="14"/>
      <c r="H235" s="14" t="e">
        <f>MAX(#REF!,#REF!)</f>
        <v>#REF!</v>
      </c>
      <c r="I235" s="14"/>
      <c r="J235" s="14" t="e">
        <f>MAX(#REF!,#REF!)</f>
        <v>#REF!</v>
      </c>
      <c r="K235" s="14"/>
      <c r="L235" s="14" t="e">
        <f>MAX(#REF!,#REF!)</f>
        <v>#REF!</v>
      </c>
      <c r="M235" s="14"/>
      <c r="N235" s="14" t="e">
        <f>MAX(#REF!,#REF!)</f>
        <v>#REF!</v>
      </c>
      <c r="O235" s="14"/>
      <c r="P235" s="14" t="e">
        <f>MAX(#REF!,#REF!)</f>
        <v>#REF!</v>
      </c>
      <c r="Q235" s="14"/>
      <c r="R235" s="14" t="e">
        <f>MAX(#REF!,#REF!)</f>
        <v>#REF!</v>
      </c>
      <c r="S235" s="14"/>
      <c r="T235" s="14" t="e">
        <f>MAX(#REF!,#REF!)</f>
        <v>#REF!</v>
      </c>
      <c r="U235" s="14"/>
      <c r="V235" s="14" t="e">
        <f>MAX(#REF!,#REF!)</f>
        <v>#REF!</v>
      </c>
      <c r="W235" s="14"/>
      <c r="X235" s="14" t="e">
        <f>MAX(#REF!,#REF!)</f>
        <v>#REF!</v>
      </c>
      <c r="Y235" s="3"/>
    </row>
    <row r="236" spans="4:42">
      <c r="E236" s="15"/>
      <c r="F236" s="9" t="s">
        <v>27</v>
      </c>
      <c r="G236" s="15"/>
      <c r="H236" s="9" t="s">
        <v>28</v>
      </c>
      <c r="I236" s="15"/>
      <c r="J236" s="9" t="s">
        <v>29</v>
      </c>
      <c r="K236" s="15"/>
      <c r="L236" s="9" t="s">
        <v>30</v>
      </c>
      <c r="M236" s="15"/>
      <c r="N236" s="9" t="s">
        <v>31</v>
      </c>
      <c r="O236" s="15"/>
      <c r="P236" s="9" t="s">
        <v>32</v>
      </c>
      <c r="Q236" s="15"/>
      <c r="R236" s="9" t="s">
        <v>33</v>
      </c>
      <c r="S236" s="15"/>
      <c r="T236" s="9" t="s">
        <v>34</v>
      </c>
      <c r="U236" s="10"/>
      <c r="V236" s="9" t="s">
        <v>35</v>
      </c>
      <c r="W236" s="3"/>
      <c r="X236" s="9" t="s">
        <v>36</v>
      </c>
      <c r="Y236" s="15"/>
    </row>
    <row r="237" spans="4:42">
      <c r="E237" s="15" t="e">
        <f>G237+F235</f>
        <v>#REF!</v>
      </c>
      <c r="F237" s="7" t="s">
        <v>16</v>
      </c>
      <c r="G237" s="15" t="e">
        <f>I237-H235</f>
        <v>#REF!</v>
      </c>
      <c r="H237" s="8" t="s">
        <v>17</v>
      </c>
      <c r="I237" s="12" t="e">
        <f>K237+J235</f>
        <v>#REF!</v>
      </c>
      <c r="J237" s="7" t="s">
        <v>16</v>
      </c>
      <c r="K237" s="15" t="e">
        <f>M237-L235</f>
        <v>#REF!</v>
      </c>
      <c r="L237" s="8" t="s">
        <v>17</v>
      </c>
      <c r="M237" s="12" t="e">
        <f>O237-N235</f>
        <v>#REF!</v>
      </c>
      <c r="N237" s="8" t="s">
        <v>17</v>
      </c>
      <c r="O237" s="12" t="e">
        <f>Q237+P235</f>
        <v>#REF!</v>
      </c>
      <c r="P237" s="7" t="s">
        <v>16</v>
      </c>
      <c r="Q237" s="15" t="e">
        <f>S237-R235</f>
        <v>#REF!</v>
      </c>
      <c r="R237" s="8" t="s">
        <v>17</v>
      </c>
      <c r="S237" s="13" t="e">
        <f>MAX(#REF!,#REF!)</f>
        <v>#REF!</v>
      </c>
      <c r="T237" s="7" t="s">
        <v>16</v>
      </c>
      <c r="U237" s="15" t="e">
        <f>S237-T235</f>
        <v>#REF!</v>
      </c>
      <c r="V237" s="7" t="s">
        <v>16</v>
      </c>
      <c r="W237" s="15" t="e">
        <f>U237-V235</f>
        <v>#REF!</v>
      </c>
      <c r="X237" s="8" t="s">
        <v>17</v>
      </c>
      <c r="Y237" s="15" t="e">
        <f>W237+X235</f>
        <v>#REF!</v>
      </c>
    </row>
    <row r="238" spans="4:42">
      <c r="E238" s="15" t="e">
        <f>G238+F240</f>
        <v>#REF!</v>
      </c>
      <c r="F238" s="6" t="s">
        <v>15</v>
      </c>
      <c r="G238" s="15" t="e">
        <f>I238-H240</f>
        <v>#REF!</v>
      </c>
      <c r="H238" s="7" t="s">
        <v>14</v>
      </c>
      <c r="I238" s="12" t="e">
        <f>K238+J240</f>
        <v>#REF!</v>
      </c>
      <c r="J238" s="6" t="s">
        <v>15</v>
      </c>
      <c r="K238" s="15" t="e">
        <f>M238-L240</f>
        <v>#REF!</v>
      </c>
      <c r="L238" s="7" t="s">
        <v>14</v>
      </c>
      <c r="M238" s="12" t="e">
        <f>O238-N240</f>
        <v>#REF!</v>
      </c>
      <c r="N238" s="7" t="s">
        <v>14</v>
      </c>
      <c r="O238" s="12" t="e">
        <f>Q238+P240</f>
        <v>#REF!</v>
      </c>
      <c r="P238" s="6" t="s">
        <v>15</v>
      </c>
      <c r="Q238" s="15" t="e">
        <f>S238-R240</f>
        <v>#REF!</v>
      </c>
      <c r="R238" s="7" t="s">
        <v>14</v>
      </c>
      <c r="S238" s="13" t="e">
        <f>MAX(#REF!,#REF!)</f>
        <v>#REF!</v>
      </c>
      <c r="T238" s="6" t="s">
        <v>15</v>
      </c>
      <c r="U238" s="15" t="e">
        <f>S238-T240</f>
        <v>#REF!</v>
      </c>
      <c r="V238" s="6" t="s">
        <v>15</v>
      </c>
      <c r="W238" s="15" t="e">
        <f>U238-V240</f>
        <v>#REF!</v>
      </c>
      <c r="X238" s="7" t="s">
        <v>14</v>
      </c>
      <c r="Y238" s="15" t="e">
        <f>W238+X240</f>
        <v>#REF!</v>
      </c>
    </row>
    <row r="239" spans="4:42">
      <c r="E239" s="15"/>
      <c r="F239" s="9" t="s">
        <v>19</v>
      </c>
      <c r="G239" s="15"/>
      <c r="H239" s="9" t="s">
        <v>20</v>
      </c>
      <c r="I239" s="12"/>
      <c r="J239" s="9" t="s">
        <v>21</v>
      </c>
      <c r="K239" s="15"/>
      <c r="L239" s="9" t="s">
        <v>22</v>
      </c>
      <c r="M239" s="12"/>
      <c r="N239" s="9" t="s">
        <v>23</v>
      </c>
      <c r="O239" s="15"/>
      <c r="P239" s="9" t="s">
        <v>24</v>
      </c>
      <c r="Q239" s="15"/>
      <c r="R239" s="9" t="s">
        <v>25</v>
      </c>
      <c r="S239" s="11"/>
      <c r="T239" s="9" t="s">
        <v>26</v>
      </c>
      <c r="U239" s="15"/>
      <c r="V239" s="9" t="s">
        <v>18</v>
      </c>
      <c r="W239" s="15"/>
      <c r="X239" s="9" t="s">
        <v>37</v>
      </c>
      <c r="Y239" s="15"/>
    </row>
    <row r="240" spans="4:42">
      <c r="E240" s="15"/>
      <c r="F240" s="14" t="e">
        <f>MAX(#REF!,#REF!)</f>
        <v>#REF!</v>
      </c>
      <c r="G240" s="15"/>
      <c r="H240" s="14" t="e">
        <f>MAX(#REF!,#REF!)</f>
        <v>#REF!</v>
      </c>
      <c r="I240" s="12"/>
      <c r="J240" s="14" t="e">
        <f>MAX(#REF!,#REF!)</f>
        <v>#REF!</v>
      </c>
      <c r="K240" s="15"/>
      <c r="L240" s="14" t="e">
        <f>MAX(#REF!,#REF!)</f>
        <v>#REF!</v>
      </c>
      <c r="M240" s="12"/>
      <c r="N240" s="14" t="e">
        <f>MAX(#REF!,#REF!)</f>
        <v>#REF!</v>
      </c>
      <c r="O240" s="15"/>
      <c r="P240" s="14" t="e">
        <f>MAX(#REF!,#REF!)</f>
        <v>#REF!</v>
      </c>
      <c r="Q240" s="15"/>
      <c r="R240" s="14" t="e">
        <f>MAX(#REF!,#REF!)</f>
        <v>#REF!</v>
      </c>
      <c r="S240" s="14"/>
      <c r="T240" s="14" t="e">
        <f>MAX(#REF!,#REF!)</f>
        <v>#REF!</v>
      </c>
      <c r="U240" s="15"/>
      <c r="V240" s="14" t="e">
        <f>MAX(#REF!,#REF!)</f>
        <v>#REF!</v>
      </c>
      <c r="W240" s="15"/>
      <c r="X240" s="14" t="e">
        <f>MAX(#REF!,#REF!)</f>
        <v>#REF!</v>
      </c>
      <c r="Y240" s="15"/>
    </row>
    <row r="241" spans="5:25">
      <c r="E241" s="15"/>
      <c r="F241" s="16"/>
      <c r="G241" s="16"/>
      <c r="H241" s="16"/>
      <c r="I241" s="12"/>
      <c r="J241" s="16"/>
      <c r="K241" s="16"/>
      <c r="L241" s="16"/>
      <c r="M241" s="12"/>
      <c r="N241" s="16"/>
      <c r="O241" s="16"/>
      <c r="P241" s="16"/>
      <c r="Q241" s="16"/>
      <c r="R241" s="16"/>
      <c r="S241" s="16"/>
      <c r="T241" s="16"/>
      <c r="U241" s="15"/>
      <c r="V241" s="16"/>
      <c r="W241" s="16"/>
      <c r="X241" s="16"/>
      <c r="Y241" s="15"/>
    </row>
    <row r="242" spans="5:25">
      <c r="E242" s="9" t="s">
        <v>190</v>
      </c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3"/>
    </row>
    <row r="243" spans="5:25">
      <c r="F243" s="14" t="e">
        <f>F235*(1+$B$5)^($B$4-$B$3)</f>
        <v>#REF!</v>
      </c>
      <c r="G243" s="14"/>
      <c r="H243" s="14" t="e">
        <f>H235*(1+$B$5)^($B$4-$B$3)</f>
        <v>#REF!</v>
      </c>
      <c r="I243" s="14"/>
      <c r="J243" s="14" t="e">
        <f>J235*(1+$B$5)^($B$4-$B$3)</f>
        <v>#REF!</v>
      </c>
      <c r="K243" s="14"/>
      <c r="L243" s="14" t="e">
        <f>L235*(1+$B$5)^($B$4-$B$3)</f>
        <v>#REF!</v>
      </c>
      <c r="M243" s="14"/>
      <c r="N243" s="14" t="e">
        <f>N235*(1+$B$5)^($B$4-$B$3)</f>
        <v>#REF!</v>
      </c>
      <c r="O243" s="14"/>
      <c r="P243" s="14" t="e">
        <f>P235*(1+$B$5)^($B$4-$B$3)</f>
        <v>#REF!</v>
      </c>
      <c r="Q243" s="14"/>
      <c r="R243" s="14" t="e">
        <f>R235*(1+$B$5)^($B$4-$B$3)</f>
        <v>#REF!</v>
      </c>
      <c r="S243" s="14"/>
      <c r="T243" s="14" t="e">
        <f>T235*(1+$B$5)^($B$4-$B$3)</f>
        <v>#REF!</v>
      </c>
      <c r="U243" s="14"/>
      <c r="V243" s="14" t="e">
        <f>V235*(1+$B$5)^($B$4-$B$3)</f>
        <v>#REF!</v>
      </c>
      <c r="W243" s="14"/>
      <c r="X243" s="14" t="e">
        <f>X235*(1+$B$5)^($B$4-$B$3)</f>
        <v>#REF!</v>
      </c>
      <c r="Y243" s="3"/>
    </row>
    <row r="244" spans="5:25">
      <c r="E244" s="15"/>
      <c r="F244" s="9" t="s">
        <v>27</v>
      </c>
      <c r="G244" s="15"/>
      <c r="H244" s="9" t="s">
        <v>28</v>
      </c>
      <c r="I244" s="15"/>
      <c r="J244" s="9" t="s">
        <v>29</v>
      </c>
      <c r="K244" s="15"/>
      <c r="L244" s="9" t="s">
        <v>30</v>
      </c>
      <c r="M244" s="15"/>
      <c r="N244" s="9" t="s">
        <v>31</v>
      </c>
      <c r="O244" s="15"/>
      <c r="P244" s="9" t="s">
        <v>32</v>
      </c>
      <c r="Q244" s="15"/>
      <c r="R244" s="9" t="s">
        <v>33</v>
      </c>
      <c r="S244" s="15"/>
      <c r="T244" s="9" t="s">
        <v>34</v>
      </c>
      <c r="U244" s="10"/>
      <c r="V244" s="9" t="s">
        <v>35</v>
      </c>
      <c r="W244" s="3"/>
      <c r="X244" s="9" t="s">
        <v>36</v>
      </c>
      <c r="Y244" s="15"/>
    </row>
    <row r="245" spans="5:25">
      <c r="E245" s="15" t="e">
        <f>G245+F243</f>
        <v>#REF!</v>
      </c>
      <c r="F245" s="7" t="s">
        <v>16</v>
      </c>
      <c r="G245" s="15" t="e">
        <f>I245-H243</f>
        <v>#REF!</v>
      </c>
      <c r="H245" s="8" t="s">
        <v>17</v>
      </c>
      <c r="I245" s="12" t="e">
        <f>K245+J243</f>
        <v>#REF!</v>
      </c>
      <c r="J245" s="7" t="s">
        <v>16</v>
      </c>
      <c r="K245" s="15" t="e">
        <f>M245-L243</f>
        <v>#REF!</v>
      </c>
      <c r="L245" s="8" t="s">
        <v>17</v>
      </c>
      <c r="M245" s="12" t="e">
        <f>O245-N243</f>
        <v>#REF!</v>
      </c>
      <c r="N245" s="8" t="s">
        <v>17</v>
      </c>
      <c r="O245" s="12" t="e">
        <f>Q245+P243</f>
        <v>#REF!</v>
      </c>
      <c r="P245" s="7" t="s">
        <v>16</v>
      </c>
      <c r="Q245" s="15" t="e">
        <f>S245-R243</f>
        <v>#REF!</v>
      </c>
      <c r="R245" s="8" t="s">
        <v>17</v>
      </c>
      <c r="S245" s="13" t="e">
        <f>S237*(1+$B$5)^($B$4-$B$3)</f>
        <v>#REF!</v>
      </c>
      <c r="T245" s="7" t="s">
        <v>16</v>
      </c>
      <c r="U245" s="15" t="e">
        <f>S245-T243</f>
        <v>#REF!</v>
      </c>
      <c r="V245" s="7" t="s">
        <v>16</v>
      </c>
      <c r="W245" s="15" t="e">
        <f>U245-V243</f>
        <v>#REF!</v>
      </c>
      <c r="X245" s="8" t="s">
        <v>17</v>
      </c>
      <c r="Y245" s="15" t="e">
        <f>W245+X243</f>
        <v>#REF!</v>
      </c>
    </row>
    <row r="246" spans="5:25">
      <c r="E246" s="15" t="e">
        <f>G246+F248</f>
        <v>#REF!</v>
      </c>
      <c r="F246" s="6" t="s">
        <v>15</v>
      </c>
      <c r="G246" s="15" t="e">
        <f>I246-H248</f>
        <v>#REF!</v>
      </c>
      <c r="H246" s="7" t="s">
        <v>14</v>
      </c>
      <c r="I246" s="12" t="e">
        <f>K246+J248</f>
        <v>#REF!</v>
      </c>
      <c r="J246" s="6" t="s">
        <v>15</v>
      </c>
      <c r="K246" s="15" t="e">
        <f>M246-L248</f>
        <v>#REF!</v>
      </c>
      <c r="L246" s="7" t="s">
        <v>14</v>
      </c>
      <c r="M246" s="12" t="e">
        <f>O246-N248</f>
        <v>#REF!</v>
      </c>
      <c r="N246" s="7" t="s">
        <v>14</v>
      </c>
      <c r="O246" s="12" t="e">
        <f>Q246+P248</f>
        <v>#REF!</v>
      </c>
      <c r="P246" s="6" t="s">
        <v>15</v>
      </c>
      <c r="Q246" s="15" t="e">
        <f>S246-R248</f>
        <v>#REF!</v>
      </c>
      <c r="R246" s="7" t="s">
        <v>14</v>
      </c>
      <c r="S246" s="13" t="e">
        <f>S238*(1+$B$5)^($B$4-$B$3)</f>
        <v>#REF!</v>
      </c>
      <c r="T246" s="6" t="s">
        <v>15</v>
      </c>
      <c r="U246" s="15" t="e">
        <f>S246-T248</f>
        <v>#REF!</v>
      </c>
      <c r="V246" s="6" t="s">
        <v>15</v>
      </c>
      <c r="W246" s="15" t="e">
        <f>U246-V248</f>
        <v>#REF!</v>
      </c>
      <c r="X246" s="7" t="s">
        <v>14</v>
      </c>
      <c r="Y246" s="15" t="e">
        <f>W246+X248</f>
        <v>#REF!</v>
      </c>
    </row>
    <row r="247" spans="5:25">
      <c r="E247" s="15"/>
      <c r="F247" s="9" t="s">
        <v>19</v>
      </c>
      <c r="G247" s="15"/>
      <c r="H247" s="9" t="s">
        <v>20</v>
      </c>
      <c r="I247" s="12"/>
      <c r="J247" s="9" t="s">
        <v>21</v>
      </c>
      <c r="K247" s="15"/>
      <c r="L247" s="9" t="s">
        <v>22</v>
      </c>
      <c r="M247" s="12"/>
      <c r="N247" s="9" t="s">
        <v>23</v>
      </c>
      <c r="O247" s="15"/>
      <c r="P247" s="9" t="s">
        <v>24</v>
      </c>
      <c r="Q247" s="15"/>
      <c r="R247" s="9" t="s">
        <v>25</v>
      </c>
      <c r="S247" s="11"/>
      <c r="T247" s="9" t="s">
        <v>26</v>
      </c>
      <c r="U247" s="15"/>
      <c r="V247" s="9" t="s">
        <v>18</v>
      </c>
      <c r="W247" s="15"/>
      <c r="X247" s="9" t="s">
        <v>37</v>
      </c>
      <c r="Y247" s="15"/>
    </row>
    <row r="248" spans="5:25">
      <c r="E248" s="15"/>
      <c r="F248" s="14" t="e">
        <f>F240*(1+$B$5)^($B$4-$B$3)</f>
        <v>#REF!</v>
      </c>
      <c r="G248" s="14"/>
      <c r="H248" s="14" t="e">
        <f>H240*(1+$B$5)^($B$4-$B$3)</f>
        <v>#REF!</v>
      </c>
      <c r="I248" s="14"/>
      <c r="J248" s="14" t="e">
        <f>J240*(1+$B$5)^($B$4-$B$3)</f>
        <v>#REF!</v>
      </c>
      <c r="K248" s="15"/>
      <c r="L248" s="14" t="e">
        <f>L240*(1+$B$5)^($B$4-$B$3)</f>
        <v>#REF!</v>
      </c>
      <c r="M248" s="14"/>
      <c r="N248" s="14" t="e">
        <f>N240*(1+$B$5)^($B$4-$B$3)</f>
        <v>#REF!</v>
      </c>
      <c r="O248" s="14"/>
      <c r="P248" s="14" t="e">
        <f>P240*(1+$B$5)^($B$4-$B$3)</f>
        <v>#REF!</v>
      </c>
      <c r="Q248" s="14"/>
      <c r="R248" s="14" t="e">
        <f>R240*(1+$B$5)^($B$4-$B$3)</f>
        <v>#REF!</v>
      </c>
      <c r="S248" s="14"/>
      <c r="T248" s="14" t="e">
        <f>T240*(1+$B$5)^($B$4-$B$3)</f>
        <v>#REF!</v>
      </c>
      <c r="U248" s="14"/>
      <c r="V248" s="14" t="e">
        <f>V240*(1+$B$5)^($B$4-$B$3)</f>
        <v>#REF!</v>
      </c>
      <c r="W248" s="14"/>
      <c r="X248" s="14" t="e">
        <f>X240*(1+$B$5)^($B$4-$B$3)</f>
        <v>#REF!</v>
      </c>
      <c r="Y248" s="15"/>
    </row>
  </sheetData>
  <mergeCells count="109">
    <mergeCell ref="E205:I205"/>
    <mergeCell ref="M205:R205"/>
    <mergeCell ref="T205:X205"/>
    <mergeCell ref="AA205:AM205"/>
    <mergeCell ref="E218:J218"/>
    <mergeCell ref="M218:R218"/>
    <mergeCell ref="U218:Z218"/>
    <mergeCell ref="AB218:AP218"/>
    <mergeCell ref="E179:I179"/>
    <mergeCell ref="M179:R179"/>
    <mergeCell ref="T179:X179"/>
    <mergeCell ref="AA179:AM179"/>
    <mergeCell ref="E192:I192"/>
    <mergeCell ref="M192:R192"/>
    <mergeCell ref="T192:X192"/>
    <mergeCell ref="AA192:AM192"/>
    <mergeCell ref="E163:K163"/>
    <mergeCell ref="M163:T163"/>
    <mergeCell ref="V163:X163"/>
    <mergeCell ref="AA163:AE163"/>
    <mergeCell ref="E171:K171"/>
    <mergeCell ref="M171:T171"/>
    <mergeCell ref="V171:X171"/>
    <mergeCell ref="AA171:AE171"/>
    <mergeCell ref="E147:K147"/>
    <mergeCell ref="M147:T147"/>
    <mergeCell ref="V147:X147"/>
    <mergeCell ref="AA147:AE147"/>
    <mergeCell ref="E155:K155"/>
    <mergeCell ref="M155:T155"/>
    <mergeCell ref="V155:X155"/>
    <mergeCell ref="AA155:AE155"/>
    <mergeCell ref="E131:K131"/>
    <mergeCell ref="M131:T131"/>
    <mergeCell ref="V131:X131"/>
    <mergeCell ref="AA131:AE131"/>
    <mergeCell ref="E139:K139"/>
    <mergeCell ref="M139:T139"/>
    <mergeCell ref="V139:X139"/>
    <mergeCell ref="AA139:AE139"/>
    <mergeCell ref="E115:K115"/>
    <mergeCell ref="M115:T115"/>
    <mergeCell ref="V115:X115"/>
    <mergeCell ref="AA115:AE115"/>
    <mergeCell ref="E123:K123"/>
    <mergeCell ref="M123:T123"/>
    <mergeCell ref="V123:X123"/>
    <mergeCell ref="AA123:AE123"/>
    <mergeCell ref="E99:K99"/>
    <mergeCell ref="M99:T99"/>
    <mergeCell ref="V99:X99"/>
    <mergeCell ref="AA99:AE99"/>
    <mergeCell ref="E107:K107"/>
    <mergeCell ref="M107:T107"/>
    <mergeCell ref="V107:X107"/>
    <mergeCell ref="AA107:AE107"/>
    <mergeCell ref="E83:K83"/>
    <mergeCell ref="M83:T83"/>
    <mergeCell ref="V83:X83"/>
    <mergeCell ref="AA83:AE83"/>
    <mergeCell ref="E91:K91"/>
    <mergeCell ref="M91:T91"/>
    <mergeCell ref="V91:X91"/>
    <mergeCell ref="AA91:AE91"/>
    <mergeCell ref="E75:K75"/>
    <mergeCell ref="M75:T75"/>
    <mergeCell ref="V75:X75"/>
    <mergeCell ref="AA75:AE75"/>
    <mergeCell ref="E51:K51"/>
    <mergeCell ref="M51:T51"/>
    <mergeCell ref="V51:X51"/>
    <mergeCell ref="AA51:AE51"/>
    <mergeCell ref="E59:K59"/>
    <mergeCell ref="M59:T59"/>
    <mergeCell ref="V59:X59"/>
    <mergeCell ref="AA59:AE59"/>
    <mergeCell ref="M27:T27"/>
    <mergeCell ref="V27:X27"/>
    <mergeCell ref="AA27:AE27"/>
    <mergeCell ref="AI27:AR27"/>
    <mergeCell ref="AI40:AR40"/>
    <mergeCell ref="E67:K67"/>
    <mergeCell ref="M67:T67"/>
    <mergeCell ref="V67:X67"/>
    <mergeCell ref="AA67:AE67"/>
    <mergeCell ref="AI155:AM155"/>
    <mergeCell ref="AI2:AP2"/>
    <mergeCell ref="E3:K3"/>
    <mergeCell ref="M3:T3"/>
    <mergeCell ref="V3:X3"/>
    <mergeCell ref="AA3:AE3"/>
    <mergeCell ref="E11:K11"/>
    <mergeCell ref="M11:T11"/>
    <mergeCell ref="V11:X11"/>
    <mergeCell ref="AA11:AE11"/>
    <mergeCell ref="E35:K35"/>
    <mergeCell ref="M35:T35"/>
    <mergeCell ref="V35:X35"/>
    <mergeCell ref="AA35:AE35"/>
    <mergeCell ref="E43:K43"/>
    <mergeCell ref="M43:T43"/>
    <mergeCell ref="V43:X43"/>
    <mergeCell ref="AA43:AE43"/>
    <mergeCell ref="AI13:AQ13"/>
    <mergeCell ref="E19:K19"/>
    <mergeCell ref="M19:T19"/>
    <mergeCell ref="V19:X19"/>
    <mergeCell ref="AA19:AE19"/>
    <mergeCell ref="E27:K27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89BC-FB92-434F-A57C-57462432B3C9}">
  <dimension ref="A1:AW102"/>
  <sheetViews>
    <sheetView tabSelected="1" zoomScale="115" zoomScaleNormal="115" workbookViewId="0">
      <selection activeCell="H16" sqref="H16"/>
    </sheetView>
  </sheetViews>
  <sheetFormatPr defaultRowHeight="16.5"/>
  <cols>
    <col min="1" max="1" width="10.75" customWidth="1"/>
    <col min="2" max="2" width="22.5" customWidth="1"/>
    <col min="3" max="3" width="12.125" customWidth="1"/>
    <col min="14" max="14" width="13.5" customWidth="1"/>
    <col min="19" max="19" width="42" customWidth="1"/>
    <col min="30" max="30" width="13.25" customWidth="1"/>
    <col min="32" max="32" width="5" customWidth="1"/>
    <col min="33" max="33" width="7.625" customWidth="1"/>
    <col min="34" max="34" width="4.5" customWidth="1"/>
    <col min="35" max="35" width="6.125" customWidth="1"/>
    <col min="36" max="36" width="12" customWidth="1"/>
    <col min="37" max="37" width="6.625" customWidth="1"/>
    <col min="38" max="38" width="3.25" customWidth="1"/>
    <col min="39" max="39" width="6.375" customWidth="1"/>
    <col min="40" max="40" width="3.625" customWidth="1"/>
  </cols>
  <sheetData>
    <row r="1" spans="1:45" ht="16.5" customHeight="1">
      <c r="A1" s="163" t="s">
        <v>204</v>
      </c>
      <c r="B1" s="165" t="s">
        <v>0</v>
      </c>
      <c r="C1" s="166" t="s">
        <v>1</v>
      </c>
      <c r="D1" s="167" t="s">
        <v>242</v>
      </c>
      <c r="E1" s="168" t="s">
        <v>208</v>
      </c>
      <c r="F1" s="170" t="s">
        <v>206</v>
      </c>
      <c r="G1" s="171"/>
      <c r="H1" s="171"/>
      <c r="I1" s="172"/>
      <c r="J1" s="159" t="s">
        <v>207</v>
      </c>
      <c r="K1" s="160"/>
      <c r="L1" s="160"/>
      <c r="M1" s="16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>
        <v>1</v>
      </c>
      <c r="AD1" s="101">
        <v>2</v>
      </c>
      <c r="AE1" s="101">
        <v>3</v>
      </c>
      <c r="AF1" s="101">
        <v>4</v>
      </c>
      <c r="AG1" s="101">
        <v>5</v>
      </c>
      <c r="AH1" s="101">
        <v>6</v>
      </c>
      <c r="AI1" s="101">
        <v>7</v>
      </c>
      <c r="AJ1" s="101">
        <v>8</v>
      </c>
      <c r="AK1" s="101">
        <v>9</v>
      </c>
      <c r="AL1" s="101">
        <v>10</v>
      </c>
      <c r="AM1" s="101">
        <v>11</v>
      </c>
      <c r="AN1" s="101">
        <v>12</v>
      </c>
      <c r="AO1" s="101">
        <v>13</v>
      </c>
      <c r="AP1" s="101">
        <v>14</v>
      </c>
      <c r="AQ1" s="101">
        <v>15</v>
      </c>
    </row>
    <row r="2" spans="1:45" ht="28.5">
      <c r="A2" s="164"/>
      <c r="B2" s="164"/>
      <c r="C2" s="164"/>
      <c r="D2" s="164"/>
      <c r="E2" s="169"/>
      <c r="F2" s="96" t="s">
        <v>209</v>
      </c>
      <c r="G2" s="96" t="s">
        <v>2</v>
      </c>
      <c r="H2" s="97" t="s">
        <v>210</v>
      </c>
      <c r="I2" s="95" t="s">
        <v>3</v>
      </c>
      <c r="J2" s="96" t="s">
        <v>209</v>
      </c>
      <c r="K2" s="96" t="s">
        <v>2</v>
      </c>
      <c r="L2" s="97" t="s">
        <v>210</v>
      </c>
      <c r="M2" s="96" t="s">
        <v>3</v>
      </c>
      <c r="N2" s="110" t="s">
        <v>234</v>
      </c>
      <c r="O2" s="106" t="s">
        <v>13</v>
      </c>
      <c r="P2" s="106" t="s">
        <v>214</v>
      </c>
      <c r="Q2" s="106" t="s">
        <v>12</v>
      </c>
      <c r="R2" s="110"/>
      <c r="S2" s="106" t="s">
        <v>214</v>
      </c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</row>
    <row r="3" spans="1:45">
      <c r="A3" s="174" t="s">
        <v>241</v>
      </c>
      <c r="B3" s="118" t="s">
        <v>243</v>
      </c>
      <c r="C3" s="96" t="s">
        <v>42</v>
      </c>
      <c r="D3" s="98">
        <f ca="1">Q3*(O3+IF(P3="Y",1,0))+N3</f>
        <v>7400</v>
      </c>
      <c r="E3" s="98">
        <v>100</v>
      </c>
      <c r="F3" s="96">
        <v>6569.0999999999995</v>
      </c>
      <c r="G3" s="99">
        <f t="shared" ref="G3:G20" ca="1" si="0">F3/D3</f>
        <v>0.8877162162162161</v>
      </c>
      <c r="H3" s="99">
        <v>77.231675162594485</v>
      </c>
      <c r="I3" s="100" t="str">
        <f t="shared" ref="I3:I20" ca="1" si="1">IF(G3&lt;=$U$4,"A",IF(G3&lt;=$U$5,"B",IF(G3&lt;=$U$6,"C",IF(G3&lt;=$U$7,"D",IF(G3&lt;=$U$8,"E","F")))))&amp;IF(H3/E3&gt;=$W$4,1,IF(H3/E3&gt;=$W$5,2,IF(H3/E3&gt;=$W$6,3,IF(H3/E3&gt;=$W$7,4,IF(H3/E3&gt;=$W$8,5,6)))))</f>
        <v>D3</v>
      </c>
      <c r="J3" s="96">
        <v>5587.1999999999989</v>
      </c>
      <c r="K3" s="99">
        <f t="shared" ref="K3:K4" ca="1" si="2">J3/D3</f>
        <v>0.75502702702702684</v>
      </c>
      <c r="L3" s="99">
        <v>50.916953693073097</v>
      </c>
      <c r="M3" s="100" t="str">
        <f ca="1">IF(K3&lt;=$U$4,"A",IF(K3&lt;=$U$5,"B",IF(K3&lt;=$U$6,"C",IF(K3&lt;=$U$7,"D",IF(K3&lt;=$U$8,"E","F")))))&amp;IF(L3/E3&gt;=$W$4,1,IF(L3/E3&gt;=$W$5,2,IF(L3/E3&gt;=$W$6,3,IF(L3/E3&gt;=$W$7,4,IF(L3/E3&gt;=$W$8,5,6)))))</f>
        <v>C4</v>
      </c>
      <c r="N3" s="104"/>
      <c r="O3" s="104">
        <v>4</v>
      </c>
      <c r="P3" s="104" t="s">
        <v>215</v>
      </c>
      <c r="Q3" s="104" cm="1">
        <f t="array" aca="1" ref="Q3" ca="1">OFFSET(INDIRECT(ADDRESS(MATCH(O3&amp;P3,$AB$1:$AB$56,0),COLUMN($AB$3))),MATCH($E3,$AC$3:$AC$12,-1),14)</f>
        <v>1850</v>
      </c>
      <c r="R3" s="119" t="s">
        <v>245</v>
      </c>
      <c r="S3" s="44"/>
      <c r="T3" s="4" t="s">
        <v>3</v>
      </c>
      <c r="U3" s="4" t="s">
        <v>205</v>
      </c>
      <c r="V3" s="4" t="s">
        <v>3</v>
      </c>
      <c r="W3" s="2" t="s">
        <v>10</v>
      </c>
      <c r="X3" s="92"/>
      <c r="Y3" s="92"/>
      <c r="Z3" s="92"/>
      <c r="AA3" s="92"/>
      <c r="AB3" s="111" t="s">
        <v>218</v>
      </c>
      <c r="AC3" s="111"/>
      <c r="AD3" s="19" t="s">
        <v>222</v>
      </c>
      <c r="AE3" s="19"/>
      <c r="AF3" s="112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13"/>
    </row>
    <row r="4" spans="1:45">
      <c r="A4" s="174"/>
      <c r="B4" s="123" t="s">
        <v>244</v>
      </c>
      <c r="C4" s="124" t="s">
        <v>43</v>
      </c>
      <c r="D4" s="125">
        <f t="shared" ref="D4:D20" ca="1" si="3">Q4*(O4+IF(P4="Y",1,0))+N4</f>
        <v>7400</v>
      </c>
      <c r="E4" s="125">
        <v>100</v>
      </c>
      <c r="F4" s="124">
        <v>6682.6</v>
      </c>
      <c r="G4" s="126">
        <f t="shared" ca="1" si="0"/>
        <v>0.90305405405405414</v>
      </c>
      <c r="H4" s="126">
        <v>45.123598077363241</v>
      </c>
      <c r="I4" s="127" t="str">
        <f t="shared" ca="1" si="1"/>
        <v>E4</v>
      </c>
      <c r="J4" s="124">
        <v>4737.9999999999991</v>
      </c>
      <c r="K4" s="126">
        <f t="shared" ca="1" si="2"/>
        <v>0.64027027027027017</v>
      </c>
      <c r="L4" s="126">
        <v>74.707270233196155</v>
      </c>
      <c r="M4" s="127" t="str">
        <f t="shared" ref="M4:M5" ca="1" si="4">IF(K4&lt;=$U$4,"A",IF(K4&lt;=$U$5,"B",IF(K4&lt;=$U$6,"C",IF(K4&lt;=$U$7,"D",IF(K4&lt;=$U$8,"E","F")))))&amp;IF(L4/E4&gt;=$W$4,1,IF(L4/E4&gt;=$W$5,2,IF(L4/E4&gt;=$W$6,3,IF(L4/E4&gt;=$W$7,4,IF(L4/E4&gt;=$W$8,5,6)))))</f>
        <v>C3</v>
      </c>
      <c r="N4" s="104"/>
      <c r="O4" s="104">
        <v>4</v>
      </c>
      <c r="P4" s="104" t="s">
        <v>215</v>
      </c>
      <c r="Q4" s="104" cm="1">
        <f t="array" aca="1" ref="Q4" ca="1">OFFSET(INDIRECT(ADDRESS(MATCH(O4&amp;P4,$AB$1:$AB$56,0),COLUMN($AB$3))),MATCH($E4,$AC$3:$AC$12,-1),14)</f>
        <v>1850</v>
      </c>
      <c r="R4" s="119" t="s">
        <v>246</v>
      </c>
      <c r="S4" s="44"/>
      <c r="T4" s="5" t="s">
        <v>4</v>
      </c>
      <c r="U4" s="5">
        <v>0.25</v>
      </c>
      <c r="V4" s="5">
        <v>1</v>
      </c>
      <c r="W4" s="5">
        <v>0.9</v>
      </c>
      <c r="X4" s="92"/>
      <c r="Y4" s="92"/>
      <c r="Z4" s="92"/>
      <c r="AA4" s="92">
        <v>1</v>
      </c>
      <c r="AB4" s="114"/>
      <c r="AC4" s="20" t="s">
        <v>223</v>
      </c>
      <c r="AD4" s="20" t="s">
        <v>224</v>
      </c>
      <c r="AE4" s="20" t="s">
        <v>225</v>
      </c>
      <c r="AF4" s="162" t="s">
        <v>226</v>
      </c>
      <c r="AG4" s="162"/>
      <c r="AH4" s="162"/>
      <c r="AI4" s="162"/>
      <c r="AJ4" s="162"/>
      <c r="AK4" s="162"/>
      <c r="AL4" s="162"/>
      <c r="AM4" s="162"/>
      <c r="AN4" s="162"/>
      <c r="AO4" s="20" t="s">
        <v>227</v>
      </c>
      <c r="AP4" s="20" t="s">
        <v>228</v>
      </c>
      <c r="AQ4" s="20" t="s">
        <v>229</v>
      </c>
      <c r="AR4" s="19"/>
      <c r="AS4" s="117"/>
    </row>
    <row r="5" spans="1:45" ht="16.5" customHeight="1">
      <c r="A5" s="174"/>
      <c r="B5" s="118" t="s">
        <v>327</v>
      </c>
      <c r="C5" s="96" t="s">
        <v>42</v>
      </c>
      <c r="D5" s="98">
        <f t="shared" ca="1" si="3"/>
        <v>7400</v>
      </c>
      <c r="E5" s="98">
        <v>100</v>
      </c>
      <c r="F5" s="96">
        <v>6754.7000000000007</v>
      </c>
      <c r="G5" s="99">
        <f t="shared" ca="1" si="0"/>
        <v>0.91279729729729742</v>
      </c>
      <c r="H5" s="99">
        <v>83.645939426427233</v>
      </c>
      <c r="I5" s="100" t="str">
        <f t="shared" ca="1" si="1"/>
        <v>E2</v>
      </c>
      <c r="J5" s="96">
        <v>5686.9000000000005</v>
      </c>
      <c r="K5" s="99">
        <f t="shared" ref="K5:K20" ca="1" si="5">J5/D5</f>
        <v>0.76850000000000007</v>
      </c>
      <c r="L5" s="99">
        <v>68.033158331030677</v>
      </c>
      <c r="M5" s="100" t="str">
        <f t="shared" ca="1" si="4"/>
        <v>C3</v>
      </c>
      <c r="N5" s="105"/>
      <c r="O5" s="104">
        <v>4</v>
      </c>
      <c r="P5" s="104" t="s">
        <v>215</v>
      </c>
      <c r="Q5" s="104" cm="1">
        <f t="array" aca="1" ref="Q5" ca="1">OFFSET(INDIRECT(ADDRESS(MATCH(O5&amp;P5,$AB$1:$AB$56,0),COLUMN($AB$3))),MATCH($E5,$AC$3:$AC$12,-1),14)</f>
        <v>1850</v>
      </c>
      <c r="R5" s="120" t="s">
        <v>247</v>
      </c>
      <c r="S5" s="105"/>
      <c r="T5" s="5" t="s">
        <v>5</v>
      </c>
      <c r="U5" s="5">
        <v>0.5</v>
      </c>
      <c r="V5" s="5">
        <v>2</v>
      </c>
      <c r="W5" s="5">
        <v>0.8</v>
      </c>
      <c r="X5" s="92"/>
      <c r="Y5" s="92"/>
      <c r="Z5" s="92"/>
      <c r="AA5" s="92">
        <v>2</v>
      </c>
      <c r="AB5" s="114"/>
      <c r="AC5" s="20">
        <v>110</v>
      </c>
      <c r="AD5" s="20">
        <v>115</v>
      </c>
      <c r="AE5" s="20">
        <v>1500</v>
      </c>
      <c r="AF5" s="112" t="s">
        <v>211</v>
      </c>
      <c r="AG5" s="19">
        <v>116.05</v>
      </c>
      <c r="AH5" s="19" t="str">
        <f t="shared" ref="AH5:AH12" si="6">"-("</f>
        <v>-(</v>
      </c>
      <c r="AI5" s="18">
        <v>21.042000000000002</v>
      </c>
      <c r="AJ5" s="18" t="s">
        <v>212</v>
      </c>
      <c r="AK5" s="18">
        <v>2162.1</v>
      </c>
      <c r="AL5" s="18" t="str">
        <f t="shared" ref="AL5:AL12" si="7">")/"</f>
        <v>)/</v>
      </c>
      <c r="AM5" s="18">
        <v>725.26</v>
      </c>
      <c r="AN5" s="18" t="s">
        <v>213</v>
      </c>
      <c r="AO5" s="115">
        <f t="shared" ref="AO5:AO12" si="8">AG5-(AI5/(1+EXP(-(AS5-AK5)/AM5)))</f>
        <v>115.03398038898598</v>
      </c>
      <c r="AP5" s="20">
        <v>2050</v>
      </c>
      <c r="AQ5" s="20">
        <v>105</v>
      </c>
      <c r="AR5" s="19"/>
      <c r="AS5" s="18"/>
    </row>
    <row r="6" spans="1:45" ht="16.5" customHeight="1">
      <c r="A6" s="174"/>
      <c r="B6" s="123" t="s">
        <v>328</v>
      </c>
      <c r="C6" s="124" t="s">
        <v>43</v>
      </c>
      <c r="D6" s="125">
        <f t="shared" ca="1" si="3"/>
        <v>7400</v>
      </c>
      <c r="E6" s="125">
        <v>100</v>
      </c>
      <c r="F6" s="124">
        <v>6748.9999999999991</v>
      </c>
      <c r="G6" s="126">
        <f t="shared" ca="1" si="0"/>
        <v>0.91202702702702687</v>
      </c>
      <c r="H6" s="126">
        <v>40.692470633545156</v>
      </c>
      <c r="I6" s="127" t="str">
        <f t="shared" ca="1" si="1"/>
        <v>E4</v>
      </c>
      <c r="J6" s="124">
        <v>4424.2</v>
      </c>
      <c r="K6" s="126">
        <f t="shared" ca="1" si="5"/>
        <v>0.59786486486486479</v>
      </c>
      <c r="L6" s="126">
        <v>46.123592755751346</v>
      </c>
      <c r="M6" s="127" t="str">
        <f t="shared" ref="M6:M20" ca="1" si="9">IF(K6&lt;=$U$4,"A",IF(K6&lt;=$U$5,"B",IF(K6&lt;=$U$6,"C",IF(K6&lt;=$U$7,"D",IF(K6&lt;=$U$8,"E","F")))))&amp;IF(L6/E6&gt;=$W$4,1,IF(L6/E6&gt;=$W$5,2,IF(L6/E6&gt;=$W$6,3,IF(L6/E6&gt;=$W$7,4,IF(L6/E6&gt;=$W$8,5,6)))))</f>
        <v>C4</v>
      </c>
      <c r="N6" s="105"/>
      <c r="O6" s="104">
        <v>4</v>
      </c>
      <c r="P6" s="104" t="s">
        <v>215</v>
      </c>
      <c r="Q6" s="104" cm="1">
        <f t="array" aca="1" ref="Q6" ca="1">OFFSET(INDIRECT(ADDRESS(MATCH(O6&amp;P6,$AB$1:$AB$56,0),COLUMN($AB$3))),MATCH($E6,$AC$3:$AC$12,-1),14)</f>
        <v>1850</v>
      </c>
      <c r="R6" s="120" t="s">
        <v>248</v>
      </c>
      <c r="S6" s="105"/>
      <c r="T6" s="5" t="s">
        <v>6</v>
      </c>
      <c r="U6" s="5">
        <v>0.8</v>
      </c>
      <c r="V6" s="5">
        <v>3</v>
      </c>
      <c r="W6" s="5">
        <v>0.6</v>
      </c>
      <c r="X6" s="92"/>
      <c r="Y6" s="92"/>
      <c r="Z6" s="92"/>
      <c r="AA6" s="92">
        <v>3</v>
      </c>
      <c r="AB6" s="114"/>
      <c r="AC6" s="20"/>
      <c r="AD6" s="20">
        <v>115</v>
      </c>
      <c r="AE6" s="20">
        <v>2050</v>
      </c>
      <c r="AF6" s="112" t="s">
        <v>211</v>
      </c>
      <c r="AG6" s="19">
        <v>113.05</v>
      </c>
      <c r="AH6" s="19" t="str">
        <f t="shared" si="6"/>
        <v>-(</v>
      </c>
      <c r="AI6" s="18">
        <v>33.018999999999998</v>
      </c>
      <c r="AJ6" s="18" t="s">
        <v>212</v>
      </c>
      <c r="AK6" s="18">
        <v>2581.3000000000002</v>
      </c>
      <c r="AL6" s="18" t="str">
        <f t="shared" si="7"/>
        <v>)/</v>
      </c>
      <c r="AM6" s="18">
        <v>467.67</v>
      </c>
      <c r="AN6" s="18" t="s">
        <v>213</v>
      </c>
      <c r="AO6" s="115">
        <f t="shared" si="8"/>
        <v>112.91819173704917</v>
      </c>
      <c r="AP6" s="20">
        <v>2050</v>
      </c>
      <c r="AQ6" s="20">
        <v>105</v>
      </c>
      <c r="AR6" s="19"/>
      <c r="AS6" s="18"/>
    </row>
    <row r="7" spans="1:45">
      <c r="A7" s="174"/>
      <c r="B7" s="118" t="s">
        <v>329</v>
      </c>
      <c r="C7" s="96" t="s">
        <v>42</v>
      </c>
      <c r="D7" s="98">
        <f t="shared" ca="1" si="3"/>
        <v>5700</v>
      </c>
      <c r="E7" s="98">
        <v>100</v>
      </c>
      <c r="F7" s="96">
        <v>6299.8000000000011</v>
      </c>
      <c r="G7" s="99">
        <f t="shared" ca="1" si="0"/>
        <v>1.1052280701754389</v>
      </c>
      <c r="H7" s="99">
        <v>48.139299610894945</v>
      </c>
      <c r="I7" s="100" t="str">
        <f t="shared" ca="1" si="1"/>
        <v>F4</v>
      </c>
      <c r="J7" s="96">
        <v>3652.4</v>
      </c>
      <c r="K7" s="99">
        <f t="shared" ca="1" si="5"/>
        <v>0.64077192982456144</v>
      </c>
      <c r="L7" s="99">
        <v>10.949596774193548</v>
      </c>
      <c r="M7" s="100" t="str">
        <f t="shared" ca="1" si="9"/>
        <v>C6</v>
      </c>
      <c r="N7" s="105"/>
      <c r="O7" s="104">
        <v>3</v>
      </c>
      <c r="P7" s="104" t="s">
        <v>215</v>
      </c>
      <c r="Q7" s="104" cm="1">
        <f t="array" aca="1" ref="Q7" ca="1">OFFSET(INDIRECT(ADDRESS(MATCH(O7&amp;P7,$AB$1:$AB$56,0),COLUMN($AB$3))),MATCH($E7,$AC$3:$AC$12,-1),14)</f>
        <v>1900</v>
      </c>
      <c r="R7" s="120" t="s">
        <v>249</v>
      </c>
      <c r="S7" s="105"/>
      <c r="T7" s="5" t="s">
        <v>7</v>
      </c>
      <c r="U7" s="5">
        <v>0.9</v>
      </c>
      <c r="V7" s="5">
        <v>4</v>
      </c>
      <c r="W7" s="5">
        <v>0.4</v>
      </c>
      <c r="X7" s="92"/>
      <c r="Y7" s="92"/>
      <c r="Z7" s="92"/>
      <c r="AA7" s="92">
        <v>4</v>
      </c>
      <c r="AB7" s="114"/>
      <c r="AC7" s="20"/>
      <c r="AD7" s="20">
        <v>110</v>
      </c>
      <c r="AE7" s="20">
        <v>1500</v>
      </c>
      <c r="AF7" s="112" t="s">
        <v>211</v>
      </c>
      <c r="AG7" s="19">
        <v>110.78</v>
      </c>
      <c r="AH7" s="19" t="str">
        <f t="shared" si="6"/>
        <v>-(</v>
      </c>
      <c r="AI7" s="18">
        <v>19.579000000000001</v>
      </c>
      <c r="AJ7" s="18" t="s">
        <v>212</v>
      </c>
      <c r="AK7" s="18">
        <v>2070.1999999999998</v>
      </c>
      <c r="AL7" s="18" t="str">
        <f t="shared" si="7"/>
        <v>)/</v>
      </c>
      <c r="AM7" s="18">
        <v>645.99</v>
      </c>
      <c r="AN7" s="18" t="s">
        <v>213</v>
      </c>
      <c r="AO7" s="115">
        <f t="shared" si="8"/>
        <v>110.0166250308105</v>
      </c>
      <c r="AP7" s="20">
        <v>2000</v>
      </c>
      <c r="AQ7" s="20">
        <v>100</v>
      </c>
      <c r="AR7" s="19"/>
      <c r="AS7" s="18"/>
    </row>
    <row r="8" spans="1:45">
      <c r="A8" s="174"/>
      <c r="B8" s="123" t="s">
        <v>330</v>
      </c>
      <c r="C8" s="124" t="s">
        <v>43</v>
      </c>
      <c r="D8" s="125">
        <f t="shared" ca="1" si="3"/>
        <v>5700</v>
      </c>
      <c r="E8" s="125">
        <v>100</v>
      </c>
      <c r="F8" s="124">
        <v>5993.2999999999993</v>
      </c>
      <c r="G8" s="126">
        <f t="shared" ca="1" si="0"/>
        <v>1.0514561403508771</v>
      </c>
      <c r="H8" s="126">
        <v>62.942698706099819</v>
      </c>
      <c r="I8" s="127" t="str">
        <f t="shared" ca="1" si="1"/>
        <v>F3</v>
      </c>
      <c r="J8" s="124">
        <v>5316.7</v>
      </c>
      <c r="K8" s="126">
        <f t="shared" ca="1" si="5"/>
        <v>0.93275438596491222</v>
      </c>
      <c r="L8" s="126">
        <v>44.607337278106506</v>
      </c>
      <c r="M8" s="127" t="str">
        <f t="shared" ca="1" si="9"/>
        <v>E4</v>
      </c>
      <c r="N8" s="105"/>
      <c r="O8" s="104">
        <v>3</v>
      </c>
      <c r="P8" s="104" t="s">
        <v>215</v>
      </c>
      <c r="Q8" s="104" cm="1">
        <f t="array" aca="1" ref="Q8" ca="1">OFFSET(INDIRECT(ADDRESS(MATCH(O8&amp;P8,$AB$1:$AB$56,0),COLUMN($AB$3))),MATCH($E8,$AC$3:$AC$12,-1),14)</f>
        <v>1900</v>
      </c>
      <c r="R8" s="120" t="s">
        <v>250</v>
      </c>
      <c r="S8" s="105"/>
      <c r="T8" s="5" t="s">
        <v>8</v>
      </c>
      <c r="U8" s="5">
        <v>1</v>
      </c>
      <c r="V8" s="5">
        <v>5</v>
      </c>
      <c r="W8" s="5">
        <v>0.2</v>
      </c>
      <c r="X8" s="92"/>
      <c r="Y8" s="92"/>
      <c r="Z8" s="92"/>
      <c r="AA8" s="92">
        <v>5</v>
      </c>
      <c r="AB8" s="114"/>
      <c r="AC8" s="20"/>
      <c r="AD8" s="20">
        <v>110</v>
      </c>
      <c r="AE8" s="20">
        <v>2000</v>
      </c>
      <c r="AF8" s="112" t="s">
        <v>211</v>
      </c>
      <c r="AG8" s="19">
        <v>107.92</v>
      </c>
      <c r="AH8" s="19" t="str">
        <f t="shared" si="6"/>
        <v>-(</v>
      </c>
      <c r="AI8" s="18">
        <v>38.228999999999999</v>
      </c>
      <c r="AJ8" s="18" t="s">
        <v>212</v>
      </c>
      <c r="AK8" s="18">
        <v>2577.8000000000002</v>
      </c>
      <c r="AL8" s="18" t="str">
        <f t="shared" si="7"/>
        <v>)/</v>
      </c>
      <c r="AM8" s="18">
        <v>427.41</v>
      </c>
      <c r="AN8" s="18" t="s">
        <v>213</v>
      </c>
      <c r="AO8" s="115">
        <f t="shared" si="8"/>
        <v>107.8283718334753</v>
      </c>
      <c r="AP8" s="20">
        <v>2000</v>
      </c>
      <c r="AQ8" s="20">
        <v>100</v>
      </c>
      <c r="AR8" s="19"/>
      <c r="AS8" s="18"/>
    </row>
    <row r="9" spans="1:45">
      <c r="A9" s="174"/>
      <c r="B9" s="118" t="s">
        <v>331</v>
      </c>
      <c r="C9" s="96" t="s">
        <v>42</v>
      </c>
      <c r="D9" s="98">
        <f t="shared" ca="1" si="3"/>
        <v>6760</v>
      </c>
      <c r="E9" s="98">
        <v>100</v>
      </c>
      <c r="F9" s="96">
        <v>5700.6999999999989</v>
      </c>
      <c r="G9" s="99">
        <f t="shared" ca="1" si="0"/>
        <v>0.84329881656804717</v>
      </c>
      <c r="H9" s="99">
        <v>87.005607476635518</v>
      </c>
      <c r="I9" s="100" t="str">
        <f t="shared" ca="1" si="1"/>
        <v>D2</v>
      </c>
      <c r="J9" s="96">
        <v>5113.9999999999991</v>
      </c>
      <c r="K9" s="99">
        <f t="shared" ca="1" si="5"/>
        <v>0.75650887573964487</v>
      </c>
      <c r="L9" s="99">
        <v>77.429966432712845</v>
      </c>
      <c r="M9" s="100" t="str">
        <f t="shared" ca="1" si="9"/>
        <v>C3</v>
      </c>
      <c r="N9" s="105"/>
      <c r="O9" s="104">
        <v>3</v>
      </c>
      <c r="P9" s="104" t="s">
        <v>221</v>
      </c>
      <c r="Q9" s="104" cm="1">
        <f t="array" aca="1" ref="Q9" ca="1">OFFSET(INDIRECT(ADDRESS(MATCH(O9&amp;P9,$AB$1:$AB$56,0),COLUMN($AB$3))),MATCH($E9,$AC$3:$AC$12,-1),14)</f>
        <v>1690</v>
      </c>
      <c r="R9" s="120" t="s">
        <v>251</v>
      </c>
      <c r="S9" s="105" t="s">
        <v>266</v>
      </c>
      <c r="T9" s="5" t="s">
        <v>9</v>
      </c>
      <c r="U9" s="5"/>
      <c r="V9" s="5">
        <v>6</v>
      </c>
      <c r="W9" s="5" t="s">
        <v>11</v>
      </c>
      <c r="X9" s="92"/>
      <c r="Y9" s="92"/>
      <c r="Z9" s="92"/>
      <c r="AA9" s="92">
        <v>6</v>
      </c>
      <c r="AB9" s="114"/>
      <c r="AC9" s="20">
        <v>100</v>
      </c>
      <c r="AD9" s="20">
        <v>105</v>
      </c>
      <c r="AE9" s="20">
        <v>1500</v>
      </c>
      <c r="AF9" s="112" t="s">
        <v>211</v>
      </c>
      <c r="AG9" s="19">
        <v>105.6</v>
      </c>
      <c r="AH9" s="19" t="str">
        <f t="shared" si="6"/>
        <v>-(</v>
      </c>
      <c r="AI9" s="18">
        <v>14.781000000000001</v>
      </c>
      <c r="AJ9" s="18" t="s">
        <v>212</v>
      </c>
      <c r="AK9" s="18">
        <v>1743.2</v>
      </c>
      <c r="AL9" s="18" t="str">
        <f t="shared" si="7"/>
        <v>)/</v>
      </c>
      <c r="AM9" s="18">
        <v>537.84</v>
      </c>
      <c r="AN9" s="18" t="s">
        <v>213</v>
      </c>
      <c r="AO9" s="115">
        <f t="shared" si="8"/>
        <v>105.04353141453319</v>
      </c>
      <c r="AP9" s="20">
        <v>1950</v>
      </c>
      <c r="AQ9" s="20">
        <v>95</v>
      </c>
      <c r="AR9" s="19"/>
      <c r="AS9" s="18"/>
    </row>
    <row r="10" spans="1:45">
      <c r="A10" s="174"/>
      <c r="B10" s="123" t="s">
        <v>332</v>
      </c>
      <c r="C10" s="124" t="s">
        <v>43</v>
      </c>
      <c r="D10" s="125">
        <f t="shared" ca="1" si="3"/>
        <v>6760</v>
      </c>
      <c r="E10" s="125">
        <v>100</v>
      </c>
      <c r="F10" s="124">
        <v>6449.9999999999991</v>
      </c>
      <c r="G10" s="126">
        <f t="shared" ca="1" si="0"/>
        <v>0.95414201183431935</v>
      </c>
      <c r="H10" s="126">
        <v>71.928809218950065</v>
      </c>
      <c r="I10" s="127" t="str">
        <f t="shared" ca="1" si="1"/>
        <v>E3</v>
      </c>
      <c r="J10" s="124">
        <v>3551.2</v>
      </c>
      <c r="K10" s="126">
        <f t="shared" ca="1" si="5"/>
        <v>0.5253254437869822</v>
      </c>
      <c r="L10" s="126">
        <v>39.490894039735096</v>
      </c>
      <c r="M10" s="127" t="str">
        <f t="shared" ca="1" si="9"/>
        <v>C5</v>
      </c>
      <c r="N10" s="105"/>
      <c r="O10" s="104">
        <v>3</v>
      </c>
      <c r="P10" s="104" t="s">
        <v>221</v>
      </c>
      <c r="Q10" s="104" cm="1">
        <f t="array" aca="1" ref="Q10" ca="1">OFFSET(INDIRECT(ADDRESS(MATCH(O10&amp;P10,$AB$1:$AB$56,0),COLUMN($AB$3))),MATCH($E10,$AC$3:$AC$12,-1),14)</f>
        <v>1690</v>
      </c>
      <c r="R10" s="120" t="s">
        <v>252</v>
      </c>
      <c r="S10" s="121" t="s">
        <v>263</v>
      </c>
      <c r="U10" s="1"/>
      <c r="V10" s="92"/>
      <c r="W10" s="92"/>
      <c r="X10" s="92"/>
      <c r="Y10" s="92"/>
      <c r="Z10" s="92"/>
      <c r="AA10" s="92">
        <v>7</v>
      </c>
      <c r="AB10" s="114"/>
      <c r="AC10" s="20"/>
      <c r="AD10" s="20">
        <v>105</v>
      </c>
      <c r="AE10" s="20">
        <v>1950</v>
      </c>
      <c r="AF10" s="112" t="s">
        <v>211</v>
      </c>
      <c r="AG10" s="19">
        <v>100.79</v>
      </c>
      <c r="AH10" s="19" t="str">
        <f t="shared" si="6"/>
        <v>-(</v>
      </c>
      <c r="AI10" s="18">
        <v>18.472999999999999</v>
      </c>
      <c r="AJ10" s="18" t="s">
        <v>212</v>
      </c>
      <c r="AK10" s="18">
        <v>2124.5</v>
      </c>
      <c r="AL10" s="18" t="str">
        <f t="shared" si="7"/>
        <v>)/</v>
      </c>
      <c r="AM10" s="18">
        <v>221.04</v>
      </c>
      <c r="AN10" s="18" t="s">
        <v>213</v>
      </c>
      <c r="AO10" s="115">
        <f t="shared" si="8"/>
        <v>100.78876309044983</v>
      </c>
      <c r="AP10" s="20">
        <v>1950</v>
      </c>
      <c r="AQ10" s="20">
        <v>95</v>
      </c>
      <c r="AR10" s="19"/>
      <c r="AS10" s="18"/>
    </row>
    <row r="11" spans="1:45">
      <c r="A11" s="174"/>
      <c r="B11" s="118" t="s">
        <v>333</v>
      </c>
      <c r="C11" s="96" t="s">
        <v>42</v>
      </c>
      <c r="D11" s="98">
        <f t="shared" ca="1" si="3"/>
        <v>5700</v>
      </c>
      <c r="E11" s="98">
        <v>100</v>
      </c>
      <c r="F11" s="96">
        <v>4862</v>
      </c>
      <c r="G11" s="99">
        <f t="shared" ca="1" si="0"/>
        <v>0.85298245614035084</v>
      </c>
      <c r="H11" s="99">
        <v>93.230201987816613</v>
      </c>
      <c r="I11" s="100" t="str">
        <f t="shared" ca="1" si="1"/>
        <v>D1</v>
      </c>
      <c r="J11" s="96">
        <v>5201</v>
      </c>
      <c r="K11" s="99">
        <f t="shared" ca="1" si="5"/>
        <v>0.91245614035087719</v>
      </c>
      <c r="L11" s="99">
        <v>63.55566725307866</v>
      </c>
      <c r="M11" s="100" t="str">
        <f t="shared" ca="1" si="9"/>
        <v>E3</v>
      </c>
      <c r="N11" s="105"/>
      <c r="O11" s="104">
        <v>3</v>
      </c>
      <c r="P11" s="104" t="s">
        <v>215</v>
      </c>
      <c r="Q11" s="104" cm="1">
        <f t="array" aca="1" ref="Q11" ca="1">OFFSET(INDIRECT(ADDRESS(MATCH(O11&amp;P11,$AB$1:$AB$56,0),COLUMN($AB$3))),MATCH($E11,$AC$3:$AC$12,-1),14)</f>
        <v>1900</v>
      </c>
      <c r="R11" s="120" t="s">
        <v>253</v>
      </c>
      <c r="S11" s="105"/>
      <c r="T11" s="92"/>
      <c r="U11" s="92"/>
      <c r="V11" s="92"/>
      <c r="W11" s="92"/>
      <c r="X11" s="92"/>
      <c r="Y11" s="92"/>
      <c r="Z11" s="92"/>
      <c r="AA11" s="92">
        <v>8</v>
      </c>
      <c r="AB11" s="114"/>
      <c r="AC11" s="20">
        <v>90</v>
      </c>
      <c r="AD11" s="20">
        <v>100</v>
      </c>
      <c r="AE11" s="20">
        <v>1500</v>
      </c>
      <c r="AF11" s="112" t="s">
        <v>211</v>
      </c>
      <c r="AG11" s="19">
        <v>100.6</v>
      </c>
      <c r="AH11" s="19" t="str">
        <f t="shared" si="6"/>
        <v>-(</v>
      </c>
      <c r="AI11" s="18">
        <v>17.791</v>
      </c>
      <c r="AJ11" s="18" t="s">
        <v>212</v>
      </c>
      <c r="AK11" s="18">
        <v>1974.8</v>
      </c>
      <c r="AL11" s="18" t="str">
        <f t="shared" si="7"/>
        <v>)/</v>
      </c>
      <c r="AM11" s="18">
        <v>577.44000000000005</v>
      </c>
      <c r="AN11" s="18" t="s">
        <v>213</v>
      </c>
      <c r="AO11" s="116">
        <f t="shared" si="8"/>
        <v>100.03640588183492</v>
      </c>
      <c r="AP11" s="20">
        <v>1900</v>
      </c>
      <c r="AQ11" s="20">
        <v>90</v>
      </c>
      <c r="AR11" s="19"/>
      <c r="AS11" s="18"/>
    </row>
    <row r="12" spans="1:45">
      <c r="A12" s="174"/>
      <c r="B12" s="123" t="s">
        <v>334</v>
      </c>
      <c r="C12" s="124" t="s">
        <v>43</v>
      </c>
      <c r="D12" s="125">
        <f t="shared" ca="1" si="3"/>
        <v>5700</v>
      </c>
      <c r="E12" s="125">
        <v>100</v>
      </c>
      <c r="F12" s="124">
        <v>5959.7999999999993</v>
      </c>
      <c r="G12" s="126">
        <f t="shared" ca="1" si="0"/>
        <v>1.0455789473684209</v>
      </c>
      <c r="H12" s="126">
        <v>81.054550593555675</v>
      </c>
      <c r="I12" s="127" t="str">
        <f t="shared" ca="1" si="1"/>
        <v>F2</v>
      </c>
      <c r="J12" s="124">
        <v>3707.6000000000004</v>
      </c>
      <c r="K12" s="126">
        <f t="shared" ca="1" si="5"/>
        <v>0.65045614035087729</v>
      </c>
      <c r="L12" s="126">
        <v>86.893738140417454</v>
      </c>
      <c r="M12" s="127" t="str">
        <f t="shared" ca="1" si="9"/>
        <v>C2</v>
      </c>
      <c r="N12" s="105"/>
      <c r="O12" s="104">
        <v>3</v>
      </c>
      <c r="P12" s="104" t="s">
        <v>215</v>
      </c>
      <c r="Q12" s="104" cm="1">
        <f t="array" aca="1" ref="Q12" ca="1">OFFSET(INDIRECT(ADDRESS(MATCH(O12&amp;P12,$AB$1:$AB$56,0),COLUMN($AB$3))),MATCH($E12,$AC$3:$AC$12,-1),14)</f>
        <v>1900</v>
      </c>
      <c r="R12" s="120" t="s">
        <v>254</v>
      </c>
      <c r="S12" s="105"/>
      <c r="T12" s="92"/>
      <c r="U12" s="92"/>
      <c r="V12" s="92"/>
      <c r="W12" s="92"/>
      <c r="X12" s="92"/>
      <c r="Y12" s="92"/>
      <c r="Z12" s="92"/>
      <c r="AA12" s="92">
        <v>9</v>
      </c>
      <c r="AB12" s="19"/>
      <c r="AC12" s="20"/>
      <c r="AD12" s="20">
        <v>100</v>
      </c>
      <c r="AE12" s="20">
        <v>1900</v>
      </c>
      <c r="AF12" s="112" t="s">
        <v>211</v>
      </c>
      <c r="AG12" s="19">
        <v>95.76</v>
      </c>
      <c r="AH12" s="19" t="str">
        <f t="shared" si="6"/>
        <v>-(</v>
      </c>
      <c r="AI12" s="18">
        <v>28.001000000000001</v>
      </c>
      <c r="AJ12" s="18" t="s">
        <v>212</v>
      </c>
      <c r="AK12" s="18">
        <v>2136.8000000000002</v>
      </c>
      <c r="AL12" s="18" t="str">
        <f t="shared" si="7"/>
        <v>)/</v>
      </c>
      <c r="AM12" s="18">
        <v>173.44</v>
      </c>
      <c r="AN12" s="18" t="s">
        <v>213</v>
      </c>
      <c r="AO12" s="116">
        <f t="shared" si="8"/>
        <v>95.759875084735981</v>
      </c>
      <c r="AP12" s="20">
        <v>1900</v>
      </c>
      <c r="AQ12" s="20">
        <v>90</v>
      </c>
      <c r="AR12" s="19"/>
      <c r="AS12" s="18"/>
    </row>
    <row r="13" spans="1:45">
      <c r="A13" s="174"/>
      <c r="B13" s="118" t="s">
        <v>335</v>
      </c>
      <c r="C13" s="96" t="s">
        <v>42</v>
      </c>
      <c r="D13" s="98">
        <f t="shared" ca="1" si="3"/>
        <v>5700</v>
      </c>
      <c r="E13" s="98">
        <v>100</v>
      </c>
      <c r="F13" s="96">
        <v>4556.2999999999993</v>
      </c>
      <c r="G13" s="99">
        <f t="shared" ca="1" si="0"/>
        <v>0.79935087719298237</v>
      </c>
      <c r="H13" s="99">
        <v>92.427177177177171</v>
      </c>
      <c r="I13" s="100" t="str">
        <f t="shared" ca="1" si="1"/>
        <v>C1</v>
      </c>
      <c r="J13" s="96">
        <v>4428.9000000000005</v>
      </c>
      <c r="K13" s="99">
        <f t="shared" ca="1" si="5"/>
        <v>0.77700000000000014</v>
      </c>
      <c r="L13" s="99">
        <v>91.651610369206594</v>
      </c>
      <c r="M13" s="100" t="str">
        <f t="shared" ca="1" si="9"/>
        <v>C1</v>
      </c>
      <c r="N13" s="105"/>
      <c r="O13" s="104">
        <v>3</v>
      </c>
      <c r="P13" s="104" t="s">
        <v>215</v>
      </c>
      <c r="Q13" s="104" cm="1">
        <f t="array" aca="1" ref="Q13" ca="1">OFFSET(INDIRECT(ADDRESS(MATCH(O13&amp;P13,$AB$1:$AB$56,0),COLUMN($AB$3))),MATCH($E13,$AC$3:$AC$12,-1),14)</f>
        <v>1900</v>
      </c>
      <c r="R13" s="120" t="s">
        <v>255</v>
      </c>
      <c r="S13" s="105"/>
      <c r="T13" s="94"/>
      <c r="U13" s="94"/>
      <c r="V13" s="94"/>
      <c r="W13" s="94"/>
      <c r="X13" s="94"/>
      <c r="Y13" s="94"/>
      <c r="Z13" s="94"/>
      <c r="AA13" s="108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8"/>
    </row>
    <row r="14" spans="1:45">
      <c r="A14" s="174"/>
      <c r="B14" s="123" t="s">
        <v>336</v>
      </c>
      <c r="C14" s="124" t="s">
        <v>43</v>
      </c>
      <c r="D14" s="125">
        <f t="shared" ca="1" si="3"/>
        <v>5700</v>
      </c>
      <c r="E14" s="125">
        <v>100</v>
      </c>
      <c r="F14" s="124">
        <v>5317.9</v>
      </c>
      <c r="G14" s="126">
        <f t="shared" ca="1" si="0"/>
        <v>0.93296491228070166</v>
      </c>
      <c r="H14" s="126">
        <v>87.530789664332289</v>
      </c>
      <c r="I14" s="127" t="str">
        <f t="shared" ca="1" si="1"/>
        <v>E2</v>
      </c>
      <c r="J14" s="124">
        <v>3405.8</v>
      </c>
      <c r="K14" s="126">
        <f t="shared" ca="1" si="5"/>
        <v>0.59750877192982454</v>
      </c>
      <c r="L14" s="126">
        <v>91.252738949754445</v>
      </c>
      <c r="M14" s="127" t="str">
        <f t="shared" ca="1" si="9"/>
        <v>C1</v>
      </c>
      <c r="N14" s="105"/>
      <c r="O14" s="104">
        <v>3</v>
      </c>
      <c r="P14" s="104" t="s">
        <v>215</v>
      </c>
      <c r="Q14" s="104" cm="1">
        <f t="array" aca="1" ref="Q14" ca="1">OFFSET(INDIRECT(ADDRESS(MATCH(O14&amp;P14,$AB$1:$AB$56,0),COLUMN($AB$3))),MATCH($E14,$AC$3:$AC$12,-1),14)</f>
        <v>1900</v>
      </c>
      <c r="R14" s="120" t="s">
        <v>256</v>
      </c>
      <c r="S14" s="105"/>
      <c r="T14" s="94"/>
      <c r="U14" s="94"/>
      <c r="V14" s="94"/>
      <c r="W14" s="94"/>
      <c r="X14" s="94"/>
      <c r="Y14" s="94"/>
      <c r="Z14" s="94"/>
      <c r="AA14" s="108"/>
      <c r="AB14" s="111" t="s">
        <v>219</v>
      </c>
      <c r="AC14" s="111"/>
      <c r="AD14" s="19" t="s">
        <v>230</v>
      </c>
      <c r="AE14" s="19"/>
      <c r="AF14" s="112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8"/>
    </row>
    <row r="15" spans="1:45">
      <c r="A15" s="174"/>
      <c r="B15" s="118" t="s">
        <v>337</v>
      </c>
      <c r="C15" s="96" t="s">
        <v>42</v>
      </c>
      <c r="D15" s="98">
        <f t="shared" ca="1" si="3"/>
        <v>5700</v>
      </c>
      <c r="E15" s="98">
        <v>100</v>
      </c>
      <c r="F15" s="129">
        <f>J15*F17/J17</f>
        <v>2551.2870056289985</v>
      </c>
      <c r="G15" s="99">
        <f t="shared" ca="1" si="0"/>
        <v>0.44759421151385936</v>
      </c>
      <c r="H15" s="99">
        <v>100.15954415954415</v>
      </c>
      <c r="I15" s="100" t="str">
        <f t="shared" ca="1" si="1"/>
        <v>B1</v>
      </c>
      <c r="J15" s="96">
        <v>3366.9999999999991</v>
      </c>
      <c r="K15" s="99">
        <f t="shared" ca="1" si="5"/>
        <v>0.59070175438596473</v>
      </c>
      <c r="L15" s="99">
        <v>93.626941362916</v>
      </c>
      <c r="M15" s="100" t="str">
        <f t="shared" ca="1" si="9"/>
        <v>C1</v>
      </c>
      <c r="N15" s="105"/>
      <c r="O15" s="104">
        <v>3</v>
      </c>
      <c r="P15" s="104" t="s">
        <v>215</v>
      </c>
      <c r="Q15" s="104" cm="1">
        <f t="array" aca="1" ref="Q15" ca="1">OFFSET(INDIRECT(ADDRESS(MATCH(O15&amp;P15,$AB$1:$AB$56,0),COLUMN($AB$3))),MATCH($E15,$AC$3:$AC$12,-1),14)</f>
        <v>1900</v>
      </c>
      <c r="R15" s="120" t="s">
        <v>257</v>
      </c>
      <c r="S15" s="105"/>
      <c r="T15" s="94"/>
      <c r="U15" s="94"/>
      <c r="V15" s="94"/>
      <c r="W15" s="94"/>
      <c r="X15" s="94"/>
      <c r="Y15" s="94"/>
      <c r="Z15" s="94"/>
      <c r="AA15" s="92">
        <v>1</v>
      </c>
      <c r="AB15" s="19"/>
      <c r="AC15" s="20" t="s">
        <v>223</v>
      </c>
      <c r="AD15" s="20" t="s">
        <v>224</v>
      </c>
      <c r="AE15" s="20" t="s">
        <v>225</v>
      </c>
      <c r="AF15" s="162" t="s">
        <v>226</v>
      </c>
      <c r="AG15" s="162"/>
      <c r="AH15" s="162"/>
      <c r="AI15" s="162"/>
      <c r="AJ15" s="162"/>
      <c r="AK15" s="162"/>
      <c r="AL15" s="162"/>
      <c r="AM15" s="162"/>
      <c r="AN15" s="162"/>
      <c r="AO15" s="20" t="s">
        <v>227</v>
      </c>
      <c r="AP15" s="20" t="s">
        <v>228</v>
      </c>
      <c r="AQ15" s="20" t="s">
        <v>229</v>
      </c>
      <c r="AR15" s="19"/>
      <c r="AS15" s="117"/>
    </row>
    <row r="16" spans="1:45">
      <c r="A16" s="174"/>
      <c r="B16" s="123" t="s">
        <v>338</v>
      </c>
      <c r="C16" s="124" t="s">
        <v>43</v>
      </c>
      <c r="D16" s="125">
        <f t="shared" ca="1" si="3"/>
        <v>5700</v>
      </c>
      <c r="E16" s="125">
        <v>100</v>
      </c>
      <c r="F16" s="130">
        <f>J16*F18/J18</f>
        <v>3115.9956271734063</v>
      </c>
      <c r="G16" s="126">
        <f t="shared" ca="1" si="0"/>
        <v>0.54666589950410638</v>
      </c>
      <c r="H16" s="126">
        <v>86.987428160919535</v>
      </c>
      <c r="I16" s="127" t="str">
        <f t="shared" ca="1" si="1"/>
        <v>C2</v>
      </c>
      <c r="J16" s="124">
        <v>1880.7</v>
      </c>
      <c r="K16" s="126">
        <f t="shared" ca="1" si="5"/>
        <v>0.32994736842105266</v>
      </c>
      <c r="L16" s="126">
        <v>91.496253122398002</v>
      </c>
      <c r="M16" s="127" t="str">
        <f t="shared" ca="1" si="9"/>
        <v>B1</v>
      </c>
      <c r="N16" s="105"/>
      <c r="O16" s="104">
        <v>3</v>
      </c>
      <c r="P16" s="104" t="s">
        <v>215</v>
      </c>
      <c r="Q16" s="104" cm="1">
        <f t="array" aca="1" ref="Q16" ca="1">OFFSET(INDIRECT(ADDRESS(MATCH(O16&amp;P16,$AB$1:$AB$56,0),COLUMN($AB$3))),MATCH($E16,$AC$3:$AC$12,-1),14)</f>
        <v>1900</v>
      </c>
      <c r="R16" s="120" t="s">
        <v>258</v>
      </c>
      <c r="S16" s="105"/>
      <c r="T16" s="94"/>
      <c r="U16" s="94"/>
      <c r="V16" s="94"/>
      <c r="W16" s="94"/>
      <c r="X16" s="94"/>
      <c r="Y16" s="94"/>
      <c r="Z16" s="94"/>
      <c r="AA16" s="92">
        <v>2</v>
      </c>
      <c r="AB16" s="19"/>
      <c r="AC16" s="20">
        <v>110</v>
      </c>
      <c r="AD16" s="20">
        <v>115</v>
      </c>
      <c r="AE16" s="20">
        <v>1500</v>
      </c>
      <c r="AF16" s="112" t="s">
        <v>211</v>
      </c>
      <c r="AG16" s="19">
        <v>115.48</v>
      </c>
      <c r="AH16" s="19" t="str">
        <f t="shared" ref="AH16:AH23" si="10">"-("</f>
        <v>-(</v>
      </c>
      <c r="AI16" s="18">
        <v>23.03</v>
      </c>
      <c r="AJ16" s="18" t="s">
        <v>212</v>
      </c>
      <c r="AK16" s="18">
        <v>2221.6</v>
      </c>
      <c r="AL16" s="18" t="str">
        <f t="shared" ref="AL16:AL23" si="11">")/"</f>
        <v>)/</v>
      </c>
      <c r="AM16" s="18">
        <v>575</v>
      </c>
      <c r="AN16" s="18" t="s">
        <v>213</v>
      </c>
      <c r="AO16" s="115">
        <f t="shared" ref="AO16:AO23" si="12">AG16-(AI16/(1+EXP(-(AS16-AK16)/AM16)))</f>
        <v>115.00651184199899</v>
      </c>
      <c r="AP16" s="20">
        <v>2000</v>
      </c>
      <c r="AQ16" s="20">
        <v>105</v>
      </c>
      <c r="AR16" s="19"/>
      <c r="AS16" s="18"/>
    </row>
    <row r="17" spans="1:45">
      <c r="A17" s="174"/>
      <c r="B17" s="118" t="s">
        <v>339</v>
      </c>
      <c r="C17" s="96" t="s">
        <v>42</v>
      </c>
      <c r="D17" s="98">
        <f t="shared" ca="1" si="3"/>
        <v>5700</v>
      </c>
      <c r="E17" s="98">
        <v>100</v>
      </c>
      <c r="F17" s="96">
        <v>4132.6000000000004</v>
      </c>
      <c r="G17" s="99">
        <f t="shared" ca="1" si="0"/>
        <v>0.72501754385964923</v>
      </c>
      <c r="H17" s="99">
        <v>95.028020378457057</v>
      </c>
      <c r="I17" s="100" t="str">
        <f t="shared" ca="1" si="1"/>
        <v>C1</v>
      </c>
      <c r="J17" s="96">
        <v>5453.9000000000005</v>
      </c>
      <c r="K17" s="99">
        <f t="shared" ca="1" si="5"/>
        <v>0.95682456140350891</v>
      </c>
      <c r="L17" s="99">
        <v>81.754572417202169</v>
      </c>
      <c r="M17" s="100" t="str">
        <f t="shared" ca="1" si="9"/>
        <v>E2</v>
      </c>
      <c r="N17" s="105"/>
      <c r="O17" s="104">
        <v>3</v>
      </c>
      <c r="P17" s="104" t="s">
        <v>215</v>
      </c>
      <c r="Q17" s="104" cm="1">
        <f t="array" aca="1" ref="Q17" ca="1">OFFSET(INDIRECT(ADDRESS(MATCH(O17&amp;P17,$AB$1:$AB$56,0),COLUMN($AB$3))),MATCH($E17,$AC$3:$AC$12,-1),14)</f>
        <v>1900</v>
      </c>
      <c r="R17" s="120" t="s">
        <v>259</v>
      </c>
      <c r="S17" s="105"/>
      <c r="T17" s="94"/>
      <c r="U17" s="94"/>
      <c r="V17" s="94"/>
      <c r="W17" s="94"/>
      <c r="X17" s="94"/>
      <c r="Y17" s="94"/>
      <c r="Z17" s="94"/>
      <c r="AA17" s="92">
        <v>3</v>
      </c>
      <c r="AB17" s="19"/>
      <c r="AC17" s="20"/>
      <c r="AD17" s="20">
        <v>115</v>
      </c>
      <c r="AE17" s="20">
        <v>2000</v>
      </c>
      <c r="AF17" s="112" t="s">
        <v>211</v>
      </c>
      <c r="AG17" s="19">
        <v>112.25</v>
      </c>
      <c r="AH17" s="19" t="str">
        <f t="shared" si="10"/>
        <v>-(</v>
      </c>
      <c r="AI17" s="18">
        <v>58.238999999999997</v>
      </c>
      <c r="AJ17" s="18" t="s">
        <v>212</v>
      </c>
      <c r="AK17" s="18">
        <v>2687.6</v>
      </c>
      <c r="AL17" s="18" t="str">
        <f t="shared" si="11"/>
        <v>)/</v>
      </c>
      <c r="AM17" s="18">
        <v>349.41</v>
      </c>
      <c r="AN17" s="18" t="s">
        <v>213</v>
      </c>
      <c r="AO17" s="115">
        <f t="shared" si="12"/>
        <v>112.22342341108623</v>
      </c>
      <c r="AP17" s="20">
        <v>2000</v>
      </c>
      <c r="AQ17" s="20">
        <v>105</v>
      </c>
      <c r="AR17" s="19"/>
      <c r="AS17" s="18"/>
    </row>
    <row r="18" spans="1:45">
      <c r="A18" s="174"/>
      <c r="B18" s="123" t="s">
        <v>340</v>
      </c>
      <c r="C18" s="124" t="s">
        <v>43</v>
      </c>
      <c r="D18" s="125">
        <f t="shared" ca="1" si="3"/>
        <v>6760</v>
      </c>
      <c r="E18" s="125">
        <v>100</v>
      </c>
      <c r="F18" s="124">
        <v>6050.9</v>
      </c>
      <c r="G18" s="126">
        <f t="shared" ca="1" si="0"/>
        <v>0.89510355029585797</v>
      </c>
      <c r="H18" s="126">
        <v>83.294532917419147</v>
      </c>
      <c r="I18" s="127" t="str">
        <f t="shared" ca="1" si="1"/>
        <v>D2</v>
      </c>
      <c r="J18" s="124">
        <v>3652.1000000000004</v>
      </c>
      <c r="K18" s="126">
        <f t="shared" ca="1" si="5"/>
        <v>0.54025147928994088</v>
      </c>
      <c r="L18" s="126">
        <v>96.243203309692674</v>
      </c>
      <c r="M18" s="127" t="str">
        <f t="shared" ca="1" si="9"/>
        <v>C1</v>
      </c>
      <c r="N18" s="105"/>
      <c r="O18" s="104">
        <v>3</v>
      </c>
      <c r="P18" s="104" t="s">
        <v>221</v>
      </c>
      <c r="Q18" s="104" cm="1">
        <f t="array" aca="1" ref="Q18" ca="1">OFFSET(INDIRECT(ADDRESS(MATCH(O18&amp;P18,$AB$1:$AB$56,0),COLUMN($AB$3))),MATCH($E18,$AC$3:$AC$12,-1),14)</f>
        <v>1690</v>
      </c>
      <c r="R18" s="120" t="s">
        <v>260</v>
      </c>
      <c r="S18" s="121" t="s">
        <v>264</v>
      </c>
      <c r="T18" s="94"/>
      <c r="U18" s="94"/>
      <c r="V18" s="94"/>
      <c r="W18" s="94"/>
      <c r="X18" s="94"/>
      <c r="Y18" s="94"/>
      <c r="Z18" s="94"/>
      <c r="AA18" s="92">
        <v>4</v>
      </c>
      <c r="AB18" s="19"/>
      <c r="AC18" s="20"/>
      <c r="AD18" s="20">
        <v>110</v>
      </c>
      <c r="AE18" s="20">
        <v>1500</v>
      </c>
      <c r="AF18" s="112" t="s">
        <v>211</v>
      </c>
      <c r="AG18" s="19">
        <v>110.52</v>
      </c>
      <c r="AH18" s="19" t="str">
        <f t="shared" si="10"/>
        <v>-(</v>
      </c>
      <c r="AI18" s="18">
        <v>37.061999999999998</v>
      </c>
      <c r="AJ18" s="18" t="s">
        <v>212</v>
      </c>
      <c r="AK18" s="18">
        <v>2588.3000000000002</v>
      </c>
      <c r="AL18" s="18" t="str">
        <f t="shared" si="11"/>
        <v>)/</v>
      </c>
      <c r="AM18" s="18">
        <v>613.77</v>
      </c>
      <c r="AN18" s="18" t="s">
        <v>213</v>
      </c>
      <c r="AO18" s="115">
        <f t="shared" si="12"/>
        <v>109.98156809140308</v>
      </c>
      <c r="AP18" s="20">
        <v>1950</v>
      </c>
      <c r="AQ18" s="20">
        <v>100</v>
      </c>
      <c r="AR18" s="19"/>
      <c r="AS18" s="18"/>
    </row>
    <row r="19" spans="1:45">
      <c r="A19" s="174"/>
      <c r="B19" s="118" t="s">
        <v>341</v>
      </c>
      <c r="C19" s="96" t="s">
        <v>42</v>
      </c>
      <c r="D19" s="98">
        <f t="shared" ca="1" si="3"/>
        <v>6760</v>
      </c>
      <c r="E19" s="98">
        <v>100</v>
      </c>
      <c r="F19" s="96">
        <v>6059.4999999999991</v>
      </c>
      <c r="G19" s="99">
        <f t="shared" ca="1" si="0"/>
        <v>0.8963757396449703</v>
      </c>
      <c r="H19" s="99">
        <v>88.652273377180435</v>
      </c>
      <c r="I19" s="100" t="str">
        <f t="shared" ca="1" si="1"/>
        <v>D2</v>
      </c>
      <c r="J19" s="96">
        <v>5263.1000000000013</v>
      </c>
      <c r="K19" s="99">
        <f t="shared" ca="1" si="5"/>
        <v>0.77856508875739661</v>
      </c>
      <c r="L19" s="99">
        <v>81.317004360092326</v>
      </c>
      <c r="M19" s="100" t="str">
        <f t="shared" ca="1" si="9"/>
        <v>C2</v>
      </c>
      <c r="N19" s="105"/>
      <c r="O19" s="104">
        <v>3</v>
      </c>
      <c r="P19" s="104" t="s">
        <v>221</v>
      </c>
      <c r="Q19" s="104" cm="1">
        <f t="array" aca="1" ref="Q19" ca="1">OFFSET(INDIRECT(ADDRESS(MATCH(O19&amp;P19,$AB$1:$AB$56,0),COLUMN($AB$3))),MATCH($E19,$AC$3:$AC$12,-1),14)</f>
        <v>1690</v>
      </c>
      <c r="R19" s="120" t="s">
        <v>261</v>
      </c>
      <c r="S19" s="121" t="s">
        <v>267</v>
      </c>
      <c r="T19" s="94"/>
      <c r="U19" s="94"/>
      <c r="V19" s="94"/>
      <c r="W19" s="94"/>
      <c r="X19" s="94"/>
      <c r="Y19" s="94"/>
      <c r="Z19" s="94"/>
      <c r="AA19" s="92">
        <v>5</v>
      </c>
      <c r="AB19" s="19"/>
      <c r="AC19" s="20"/>
      <c r="AD19" s="20">
        <v>110</v>
      </c>
      <c r="AE19" s="20">
        <v>1950</v>
      </c>
      <c r="AF19" s="112" t="s">
        <v>211</v>
      </c>
      <c r="AG19" s="19">
        <v>106.54</v>
      </c>
      <c r="AH19" s="19" t="str">
        <f t="shared" si="10"/>
        <v>-(</v>
      </c>
      <c r="AI19" s="18">
        <v>21.263000000000002</v>
      </c>
      <c r="AJ19" s="18" t="s">
        <v>212</v>
      </c>
      <c r="AK19" s="18">
        <v>2161.6999999999998</v>
      </c>
      <c r="AL19" s="18" t="str">
        <f t="shared" si="11"/>
        <v>)/</v>
      </c>
      <c r="AM19" s="18">
        <v>256.29000000000002</v>
      </c>
      <c r="AN19" s="18" t="s">
        <v>213</v>
      </c>
      <c r="AO19" s="115">
        <f t="shared" si="12"/>
        <v>106.53538218923781</v>
      </c>
      <c r="AP19" s="20">
        <v>1950</v>
      </c>
      <c r="AQ19" s="20">
        <v>100</v>
      </c>
      <c r="AR19" s="19"/>
      <c r="AS19" s="18"/>
    </row>
    <row r="20" spans="1:45">
      <c r="A20" s="174"/>
      <c r="B20" s="123" t="s">
        <v>342</v>
      </c>
      <c r="C20" s="124" t="s">
        <v>43</v>
      </c>
      <c r="D20" s="125">
        <f t="shared" ca="1" si="3"/>
        <v>6760</v>
      </c>
      <c r="E20" s="125">
        <v>100</v>
      </c>
      <c r="F20" s="124">
        <v>6125.7999999999993</v>
      </c>
      <c r="G20" s="126">
        <f t="shared" ca="1" si="0"/>
        <v>0.9061834319526626</v>
      </c>
      <c r="H20" s="126">
        <v>69.261433286185763</v>
      </c>
      <c r="I20" s="127" t="str">
        <f t="shared" ca="1" si="1"/>
        <v>E3</v>
      </c>
      <c r="J20" s="124">
        <v>5011.7</v>
      </c>
      <c r="K20" s="126">
        <f t="shared" ca="1" si="5"/>
        <v>0.74137573964497039</v>
      </c>
      <c r="L20" s="126">
        <v>94.520093770931013</v>
      </c>
      <c r="M20" s="127" t="str">
        <f t="shared" ca="1" si="9"/>
        <v>C1</v>
      </c>
      <c r="N20" s="105"/>
      <c r="O20" s="104">
        <v>3</v>
      </c>
      <c r="P20" s="104" t="s">
        <v>221</v>
      </c>
      <c r="Q20" s="104" cm="1">
        <f t="array" aca="1" ref="Q20" ca="1">OFFSET(INDIRECT(ADDRESS(MATCH(O20&amp;P20,$AB$1:$AB$56,0),COLUMN($AB$3))),MATCH($E20,$AC$3:$AC$12,-1),14)</f>
        <v>1690</v>
      </c>
      <c r="R20" s="120" t="s">
        <v>262</v>
      </c>
      <c r="S20" s="122" t="s">
        <v>265</v>
      </c>
      <c r="T20" s="94"/>
      <c r="U20" s="94"/>
      <c r="V20" s="94"/>
      <c r="W20" s="94"/>
      <c r="X20" s="94"/>
      <c r="Y20" s="94"/>
      <c r="Z20" s="94"/>
      <c r="AA20" s="92">
        <v>6</v>
      </c>
      <c r="AB20" s="19"/>
      <c r="AC20" s="20">
        <v>100</v>
      </c>
      <c r="AD20" s="20">
        <v>105</v>
      </c>
      <c r="AE20" s="20">
        <v>1500</v>
      </c>
      <c r="AF20" s="112" t="s">
        <v>211</v>
      </c>
      <c r="AG20" s="19">
        <v>105.41</v>
      </c>
      <c r="AH20" s="19" t="str">
        <f t="shared" si="10"/>
        <v>-(</v>
      </c>
      <c r="AI20" s="18">
        <v>23.378</v>
      </c>
      <c r="AJ20" s="18" t="s">
        <v>212</v>
      </c>
      <c r="AK20" s="18">
        <v>2078.5</v>
      </c>
      <c r="AL20" s="18" t="str">
        <f t="shared" si="11"/>
        <v>)/</v>
      </c>
      <c r="AM20" s="18">
        <v>518.01</v>
      </c>
      <c r="AN20" s="18" t="s">
        <v>213</v>
      </c>
      <c r="AO20" s="115">
        <f t="shared" si="12"/>
        <v>104.99463697660906</v>
      </c>
      <c r="AP20" s="20">
        <v>1900</v>
      </c>
      <c r="AQ20" s="20">
        <v>95</v>
      </c>
      <c r="AR20" s="19"/>
      <c r="AS20" s="18"/>
    </row>
    <row r="21" spans="1:45">
      <c r="A21" s="105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94"/>
      <c r="U21" s="94"/>
      <c r="V21" s="94"/>
      <c r="W21" s="94"/>
      <c r="X21" s="94"/>
      <c r="Y21" s="94"/>
      <c r="Z21" s="94"/>
      <c r="AA21" s="92">
        <v>7</v>
      </c>
      <c r="AB21" s="19"/>
      <c r="AC21" s="20"/>
      <c r="AD21" s="20">
        <v>105</v>
      </c>
      <c r="AE21" s="20">
        <v>1900</v>
      </c>
      <c r="AF21" s="112" t="s">
        <v>211</v>
      </c>
      <c r="AG21" s="19">
        <v>102.12</v>
      </c>
      <c r="AH21" s="19" t="str">
        <f t="shared" si="10"/>
        <v>-(</v>
      </c>
      <c r="AI21" s="18">
        <v>34.835000000000001</v>
      </c>
      <c r="AJ21" s="18" t="s">
        <v>212</v>
      </c>
      <c r="AK21" s="18">
        <v>2351.1</v>
      </c>
      <c r="AL21" s="18" t="str">
        <f t="shared" si="11"/>
        <v>)/</v>
      </c>
      <c r="AM21" s="18">
        <v>330.58</v>
      </c>
      <c r="AN21" s="18" t="s">
        <v>213</v>
      </c>
      <c r="AO21" s="115">
        <f t="shared" si="12"/>
        <v>102.09162474342531</v>
      </c>
      <c r="AP21" s="20">
        <v>1900</v>
      </c>
      <c r="AQ21" s="20">
        <v>95</v>
      </c>
      <c r="AR21" s="19"/>
      <c r="AS21" s="18"/>
    </row>
    <row r="22" spans="1:45">
      <c r="A22" s="105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94"/>
      <c r="U22" s="94"/>
      <c r="V22" s="94"/>
      <c r="W22" s="94"/>
      <c r="X22" s="94"/>
      <c r="Y22" s="94"/>
      <c r="Z22" s="94"/>
      <c r="AA22" s="92">
        <v>8</v>
      </c>
      <c r="AB22" s="19"/>
      <c r="AC22" s="20">
        <v>90</v>
      </c>
      <c r="AD22" s="20">
        <v>100</v>
      </c>
      <c r="AE22" s="20">
        <v>1500</v>
      </c>
      <c r="AF22" s="112" t="s">
        <v>211</v>
      </c>
      <c r="AG22" s="19">
        <v>100.4</v>
      </c>
      <c r="AH22" s="19" t="str">
        <f t="shared" si="10"/>
        <v>-(</v>
      </c>
      <c r="AI22" s="18">
        <v>16.815999999999999</v>
      </c>
      <c r="AJ22" s="18" t="s">
        <v>212</v>
      </c>
      <c r="AK22" s="18">
        <v>1855</v>
      </c>
      <c r="AL22" s="18" t="str">
        <f t="shared" si="11"/>
        <v>)/</v>
      </c>
      <c r="AM22" s="18">
        <v>499.06</v>
      </c>
      <c r="AN22" s="18" t="s">
        <v>213</v>
      </c>
      <c r="AO22" s="115">
        <f t="shared" si="12"/>
        <v>100.00095196464054</v>
      </c>
      <c r="AP22" s="20">
        <v>1850</v>
      </c>
      <c r="AQ22" s="20">
        <v>90</v>
      </c>
      <c r="AR22" s="19"/>
      <c r="AS22" s="18"/>
    </row>
    <row r="23" spans="1:45">
      <c r="A23" s="167" t="s">
        <v>268</v>
      </c>
      <c r="B23" s="118" t="s">
        <v>343</v>
      </c>
      <c r="C23" s="96" t="s">
        <v>42</v>
      </c>
      <c r="D23" s="98">
        <f ca="1">Q23*(O23+IF(P23="Y",1,0))+N23</f>
        <v>7800</v>
      </c>
      <c r="E23" s="98">
        <v>110</v>
      </c>
      <c r="F23" s="96">
        <v>6816.9</v>
      </c>
      <c r="G23" s="99">
        <f t="shared" ref="G23:G40" ca="1" si="13">F23/D23</f>
        <v>0.87396153846153846</v>
      </c>
      <c r="H23" s="99">
        <v>97.533279055566865</v>
      </c>
      <c r="I23" s="100" t="str">
        <f t="shared" ref="I23:I40" ca="1" si="14">IF(G23&lt;=$U$4,"A",IF(G23&lt;=$U$5,"B",IF(G23&lt;=$U$6,"C",IF(G23&lt;=$U$7,"D",IF(G23&lt;=$U$8,"E","F")))))&amp;IF(H23/E23&gt;=$W$4,1,IF(H23/E23&gt;=$W$5,2,IF(H23/E23&gt;=$W$6,3,IF(H23/E23&gt;=$W$7,4,IF(H23/E23&gt;=$W$8,5,6)))))</f>
        <v>D2</v>
      </c>
      <c r="J23" s="96">
        <v>6740.2</v>
      </c>
      <c r="K23" s="99">
        <f t="shared" ref="K23:K40" ca="1" si="15">J23/D23</f>
        <v>0.8641282051282051</v>
      </c>
      <c r="L23" s="99">
        <v>87.103546099290782</v>
      </c>
      <c r="M23" s="100" t="str">
        <f ca="1">IF(K23&lt;=$U$4,"A",IF(K23&lt;=$U$5,"B",IF(K23&lt;=$U$6,"C",IF(K23&lt;=$U$7,"D",IF(K23&lt;=$U$8,"E","F")))))&amp;IF(L23/E23&gt;=$W$4,1,IF(L23/E23&gt;=$W$5,2,IF(L23/E23&gt;=$W$6,3,IF(L23/E23&gt;=$W$7,4,IF(L23/E23&gt;=$W$8,5,6)))))</f>
        <v>D3</v>
      </c>
      <c r="N23" s="104"/>
      <c r="O23" s="104">
        <v>4</v>
      </c>
      <c r="P23" s="104" t="s">
        <v>215</v>
      </c>
      <c r="Q23" s="104" cm="1">
        <f t="array" aca="1" ref="Q23" ca="1">OFFSET(INDIRECT(ADDRESS(MATCH(O23&amp;P23,$AB$1:$AB$56,0),COLUMN($AB$3))),MATCH($E23,$AC$3:$AC$12,-1),14)</f>
        <v>1950</v>
      </c>
      <c r="R23" s="119" t="s">
        <v>269</v>
      </c>
      <c r="S23" s="44"/>
      <c r="T23" s="94"/>
      <c r="U23" s="94"/>
      <c r="V23" s="94"/>
      <c r="W23" s="94"/>
      <c r="X23" s="94"/>
      <c r="Y23" s="94"/>
      <c r="Z23" s="94"/>
      <c r="AA23" s="92">
        <v>9</v>
      </c>
      <c r="AB23" s="19"/>
      <c r="AC23" s="20"/>
      <c r="AD23" s="20">
        <v>100</v>
      </c>
      <c r="AE23" s="20">
        <v>1850</v>
      </c>
      <c r="AF23" s="112" t="s">
        <v>211</v>
      </c>
      <c r="AG23" s="19">
        <v>96.45</v>
      </c>
      <c r="AH23" s="19" t="str">
        <f t="shared" si="10"/>
        <v>-(</v>
      </c>
      <c r="AI23" s="18">
        <v>41.506</v>
      </c>
      <c r="AJ23" s="18" t="s">
        <v>212</v>
      </c>
      <c r="AK23" s="18">
        <v>2236.6</v>
      </c>
      <c r="AL23" s="18" t="str">
        <f t="shared" si="11"/>
        <v>)/</v>
      </c>
      <c r="AM23" s="18">
        <v>227.55</v>
      </c>
      <c r="AN23" s="18" t="s">
        <v>213</v>
      </c>
      <c r="AO23" s="115">
        <f t="shared" si="12"/>
        <v>96.447764442023569</v>
      </c>
      <c r="AP23" s="20">
        <v>1850</v>
      </c>
      <c r="AQ23" s="20">
        <v>90</v>
      </c>
      <c r="AR23" s="19"/>
      <c r="AS23" s="18"/>
    </row>
    <row r="24" spans="1:45" ht="16.5" customHeight="1">
      <c r="A24" s="175"/>
      <c r="B24" s="123" t="s">
        <v>344</v>
      </c>
      <c r="C24" s="124" t="s">
        <v>43</v>
      </c>
      <c r="D24" s="125">
        <f t="shared" ref="D24:D40" ca="1" si="16">Q24*(O24+IF(P24="Y",1,0))+N24</f>
        <v>7800</v>
      </c>
      <c r="E24" s="125">
        <v>110</v>
      </c>
      <c r="F24" s="124">
        <v>7294.6999999999989</v>
      </c>
      <c r="G24" s="126">
        <f t="shared" ca="1" si="13"/>
        <v>0.93521794871794861</v>
      </c>
      <c r="H24" s="126">
        <v>83.506679092885989</v>
      </c>
      <c r="I24" s="127" t="str">
        <f t="shared" ca="1" si="14"/>
        <v>E3</v>
      </c>
      <c r="J24" s="124">
        <v>5603.5999999999995</v>
      </c>
      <c r="K24" s="126">
        <f t="shared" ca="1" si="15"/>
        <v>0.71841025641025635</v>
      </c>
      <c r="L24" s="126">
        <v>80.910239970690597</v>
      </c>
      <c r="M24" s="127" t="str">
        <f t="shared" ref="M24:M40" ca="1" si="17">IF(K24&lt;=$U$4,"A",IF(K24&lt;=$U$5,"B",IF(K24&lt;=$U$6,"C",IF(K24&lt;=$U$7,"D",IF(K24&lt;=$U$8,"E","F")))))&amp;IF(L24/E24&gt;=$W$4,1,IF(L24/E24&gt;=$W$5,2,IF(L24/E24&gt;=$W$6,3,IF(L24/E24&gt;=$W$7,4,IF(L24/E24&gt;=$W$8,5,6)))))</f>
        <v>C3</v>
      </c>
      <c r="N24" s="104"/>
      <c r="O24" s="104">
        <v>4</v>
      </c>
      <c r="P24" s="104" t="s">
        <v>215</v>
      </c>
      <c r="Q24" s="104" cm="1">
        <f t="array" aca="1" ref="Q24" ca="1">OFFSET(INDIRECT(ADDRESS(MATCH(O24&amp;P24,$AB$1:$AB$56,0),COLUMN($AB$3))),MATCH($E24,$AC$3:$AC$12,-1),14)</f>
        <v>1950</v>
      </c>
      <c r="R24" s="119" t="s">
        <v>270</v>
      </c>
      <c r="S24" s="44"/>
      <c r="T24" s="94"/>
      <c r="U24" s="94"/>
      <c r="V24" s="94"/>
      <c r="W24" s="94"/>
      <c r="X24" s="94"/>
      <c r="Y24" s="94"/>
      <c r="Z24" s="94"/>
      <c r="AA24" s="10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8"/>
    </row>
    <row r="25" spans="1:45">
      <c r="A25" s="175"/>
      <c r="B25" s="118" t="s">
        <v>345</v>
      </c>
      <c r="C25" s="96" t="s">
        <v>42</v>
      </c>
      <c r="D25" s="98">
        <f t="shared" ca="1" si="16"/>
        <v>7800</v>
      </c>
      <c r="E25" s="98">
        <v>110</v>
      </c>
      <c r="F25" s="96">
        <v>6633.1</v>
      </c>
      <c r="G25" s="99">
        <f t="shared" ca="1" si="13"/>
        <v>0.85039743589743599</v>
      </c>
      <c r="H25" s="99">
        <v>94.830063386658622</v>
      </c>
      <c r="I25" s="100" t="str">
        <f t="shared" ca="1" si="14"/>
        <v>D2</v>
      </c>
      <c r="J25" s="96">
        <v>7542.7</v>
      </c>
      <c r="K25" s="99">
        <f t="shared" ca="1" si="15"/>
        <v>0.96701282051282045</v>
      </c>
      <c r="L25" s="99">
        <v>59.218756455277834</v>
      </c>
      <c r="M25" s="100" t="str">
        <f t="shared" ca="1" si="17"/>
        <v>E4</v>
      </c>
      <c r="N25" s="105"/>
      <c r="O25" s="104">
        <v>4</v>
      </c>
      <c r="P25" s="104" t="s">
        <v>215</v>
      </c>
      <c r="Q25" s="104" cm="1">
        <f t="array" aca="1" ref="Q25" ca="1">OFFSET(INDIRECT(ADDRESS(MATCH(O25&amp;P25,$AB$1:$AB$56,0),COLUMN($AB$3))),MATCH($E25,$AC$3:$AC$12,-1),14)</f>
        <v>1950</v>
      </c>
      <c r="R25" s="120" t="s">
        <v>271</v>
      </c>
      <c r="S25" s="105"/>
      <c r="T25" s="94"/>
      <c r="U25" s="94"/>
      <c r="V25" s="94"/>
      <c r="W25" s="94"/>
      <c r="X25" s="94"/>
      <c r="Y25" s="94"/>
      <c r="Z25" s="94"/>
      <c r="AA25" s="109"/>
      <c r="AB25" s="111" t="s">
        <v>220</v>
      </c>
      <c r="AC25" s="111"/>
      <c r="AD25" s="19" t="s">
        <v>231</v>
      </c>
      <c r="AE25" s="19"/>
      <c r="AF25" s="112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8"/>
    </row>
    <row r="26" spans="1:45">
      <c r="A26" s="175"/>
      <c r="B26" s="123" t="s">
        <v>346</v>
      </c>
      <c r="C26" s="124" t="s">
        <v>43</v>
      </c>
      <c r="D26" s="125">
        <f t="shared" ca="1" si="16"/>
        <v>7800</v>
      </c>
      <c r="E26" s="125">
        <v>110</v>
      </c>
      <c r="F26" s="124">
        <v>8043.5</v>
      </c>
      <c r="G26" s="126">
        <f t="shared" ca="1" si="13"/>
        <v>1.0312179487179487</v>
      </c>
      <c r="H26" s="126">
        <v>91.473618759992888</v>
      </c>
      <c r="I26" s="127" t="str">
        <f t="shared" ca="1" si="14"/>
        <v>F2</v>
      </c>
      <c r="J26" s="124">
        <v>5973</v>
      </c>
      <c r="K26" s="126">
        <f t="shared" ca="1" si="15"/>
        <v>0.76576923076923076</v>
      </c>
      <c r="L26" s="126">
        <v>91.334061135371172</v>
      </c>
      <c r="M26" s="127" t="str">
        <f t="shared" ca="1" si="17"/>
        <v>C2</v>
      </c>
      <c r="N26" s="105"/>
      <c r="O26" s="104">
        <v>4</v>
      </c>
      <c r="P26" s="104" t="s">
        <v>215</v>
      </c>
      <c r="Q26" s="104" cm="1">
        <f t="array" aca="1" ref="Q26" ca="1">OFFSET(INDIRECT(ADDRESS(MATCH(O26&amp;P26,$AB$1:$AB$56,0),COLUMN($AB$3))),MATCH($E26,$AC$3:$AC$12,-1),14)</f>
        <v>1950</v>
      </c>
      <c r="R26" s="120" t="s">
        <v>272</v>
      </c>
      <c r="S26" s="105"/>
      <c r="T26" s="94"/>
      <c r="U26" s="94"/>
      <c r="V26" s="94"/>
      <c r="W26" s="94"/>
      <c r="X26" s="94"/>
      <c r="Y26" s="94"/>
      <c r="Z26" s="94"/>
      <c r="AA26" s="92">
        <v>1</v>
      </c>
      <c r="AB26" s="19"/>
      <c r="AC26" s="20" t="s">
        <v>223</v>
      </c>
      <c r="AD26" s="20" t="s">
        <v>224</v>
      </c>
      <c r="AE26" s="20" t="s">
        <v>225</v>
      </c>
      <c r="AF26" s="162" t="s">
        <v>226</v>
      </c>
      <c r="AG26" s="162"/>
      <c r="AH26" s="162"/>
      <c r="AI26" s="162"/>
      <c r="AJ26" s="162"/>
      <c r="AK26" s="162"/>
      <c r="AL26" s="162"/>
      <c r="AM26" s="162"/>
      <c r="AN26" s="162"/>
      <c r="AO26" s="20" t="s">
        <v>227</v>
      </c>
      <c r="AP26" s="20" t="s">
        <v>228</v>
      </c>
      <c r="AQ26" s="20" t="s">
        <v>229</v>
      </c>
      <c r="AR26" s="19"/>
      <c r="AS26" s="117"/>
    </row>
    <row r="27" spans="1:45">
      <c r="A27" s="175"/>
      <c r="B27" s="118" t="s">
        <v>347</v>
      </c>
      <c r="C27" s="96" t="s">
        <v>42</v>
      </c>
      <c r="D27" s="98">
        <f t="shared" ca="1" si="16"/>
        <v>7800</v>
      </c>
      <c r="E27" s="98">
        <v>110</v>
      </c>
      <c r="F27" s="96">
        <v>4899.8000000000011</v>
      </c>
      <c r="G27" s="99">
        <f t="shared" ca="1" si="13"/>
        <v>0.62817948717948735</v>
      </c>
      <c r="H27" s="99">
        <v>97.710619818397163</v>
      </c>
      <c r="I27" s="100" t="str">
        <f t="shared" ca="1" si="14"/>
        <v>C2</v>
      </c>
      <c r="J27" s="96">
        <v>6423.2000000000007</v>
      </c>
      <c r="K27" s="99">
        <f t="shared" ca="1" si="15"/>
        <v>0.82348717948717953</v>
      </c>
      <c r="L27" s="99">
        <v>83.723136495643757</v>
      </c>
      <c r="M27" s="100" t="str">
        <f t="shared" ca="1" si="17"/>
        <v>D3</v>
      </c>
      <c r="N27" s="105"/>
      <c r="O27" s="104">
        <v>4</v>
      </c>
      <c r="P27" s="104" t="s">
        <v>215</v>
      </c>
      <c r="Q27" s="104" cm="1">
        <f t="array" aca="1" ref="Q27" ca="1">OFFSET(INDIRECT(ADDRESS(MATCH(O27&amp;P27,$AB$1:$AB$56,0),COLUMN($AB$3))),MATCH($E27,$AC$3:$AC$12,-1),14)</f>
        <v>1950</v>
      </c>
      <c r="R27" s="120" t="s">
        <v>273</v>
      </c>
      <c r="S27" s="105"/>
      <c r="T27" s="94"/>
      <c r="U27" s="94"/>
      <c r="V27" s="94"/>
      <c r="W27" s="94"/>
      <c r="X27" s="94"/>
      <c r="Y27" s="94"/>
      <c r="Z27" s="94"/>
      <c r="AA27" s="92">
        <v>2</v>
      </c>
      <c r="AB27" s="19"/>
      <c r="AC27" s="20">
        <v>110</v>
      </c>
      <c r="AD27" s="20">
        <v>115</v>
      </c>
      <c r="AE27" s="20">
        <v>1500</v>
      </c>
      <c r="AF27" s="112" t="s">
        <v>211</v>
      </c>
      <c r="AG27" s="19">
        <v>115.28</v>
      </c>
      <c r="AH27" s="19" t="str">
        <f t="shared" ref="AH27:AH34" si="18">"-("</f>
        <v>-(</v>
      </c>
      <c r="AI27" s="18">
        <v>13.69</v>
      </c>
      <c r="AJ27" s="18" t="s">
        <v>212</v>
      </c>
      <c r="AK27" s="18">
        <v>1679.7</v>
      </c>
      <c r="AL27" s="18" t="str">
        <f t="shared" ref="AL27:AL34" si="19">")/"</f>
        <v>)/</v>
      </c>
      <c r="AM27" s="18">
        <v>422.87</v>
      </c>
      <c r="AN27" s="18" t="s">
        <v>213</v>
      </c>
      <c r="AO27" s="115">
        <f t="shared" ref="AO27:AO34" si="20">AG27-(AI27/(1+EXP(-(AS27-AK27)/AM27)))</f>
        <v>115.02694160058999</v>
      </c>
      <c r="AP27" s="20">
        <v>1950</v>
      </c>
      <c r="AQ27" s="20">
        <v>105</v>
      </c>
      <c r="AR27" s="19"/>
      <c r="AS27" s="18"/>
    </row>
    <row r="28" spans="1:45" ht="16.5" customHeight="1">
      <c r="A28" s="175"/>
      <c r="B28" s="123" t="s">
        <v>348</v>
      </c>
      <c r="C28" s="124" t="s">
        <v>43</v>
      </c>
      <c r="D28" s="125">
        <f t="shared" ca="1" si="16"/>
        <v>7800</v>
      </c>
      <c r="E28" s="125">
        <v>110</v>
      </c>
      <c r="F28" s="124">
        <v>6999.9000000000005</v>
      </c>
      <c r="G28" s="126">
        <f t="shared" ca="1" si="13"/>
        <v>0.89742307692307699</v>
      </c>
      <c r="H28" s="126">
        <v>90.993930197268583</v>
      </c>
      <c r="I28" s="127" t="str">
        <f t="shared" ca="1" si="14"/>
        <v>D2</v>
      </c>
      <c r="J28" s="124">
        <v>5205.6000000000004</v>
      </c>
      <c r="K28" s="126">
        <f t="shared" ca="1" si="15"/>
        <v>0.66738461538461546</v>
      </c>
      <c r="L28" s="126">
        <v>88.610722610722604</v>
      </c>
      <c r="M28" s="127" t="str">
        <f t="shared" ca="1" si="17"/>
        <v>C2</v>
      </c>
      <c r="N28" s="105"/>
      <c r="O28" s="104">
        <v>4</v>
      </c>
      <c r="P28" s="104" t="s">
        <v>215</v>
      </c>
      <c r="Q28" s="104" cm="1">
        <f t="array" aca="1" ref="Q28" ca="1">OFFSET(INDIRECT(ADDRESS(MATCH(O28&amp;P28,$AB$1:$AB$56,0),COLUMN($AB$3))),MATCH($E28,$AC$3:$AC$12,-1),14)</f>
        <v>1950</v>
      </c>
      <c r="R28" s="120" t="s">
        <v>274</v>
      </c>
      <c r="S28" s="105"/>
      <c r="T28" s="94"/>
      <c r="U28" s="94"/>
      <c r="V28" s="94"/>
      <c r="W28" s="94"/>
      <c r="X28" s="94"/>
      <c r="Y28" s="94"/>
      <c r="Z28" s="94"/>
      <c r="AA28" s="92">
        <v>3</v>
      </c>
      <c r="AB28" s="19"/>
      <c r="AC28" s="20"/>
      <c r="AD28" s="20">
        <v>115</v>
      </c>
      <c r="AE28" s="20">
        <v>1950</v>
      </c>
      <c r="AF28" s="112" t="s">
        <v>211</v>
      </c>
      <c r="AG28" s="19">
        <v>112.11</v>
      </c>
      <c r="AH28" s="19" t="str">
        <f t="shared" si="18"/>
        <v>-(</v>
      </c>
      <c r="AI28" s="18">
        <v>18.103999999999999</v>
      </c>
      <c r="AJ28" s="18" t="s">
        <v>212</v>
      </c>
      <c r="AK28" s="18">
        <v>2078</v>
      </c>
      <c r="AL28" s="18" t="str">
        <f t="shared" si="19"/>
        <v>)/</v>
      </c>
      <c r="AM28" s="18">
        <v>288.36</v>
      </c>
      <c r="AN28" s="18" t="s">
        <v>213</v>
      </c>
      <c r="AO28" s="115">
        <f t="shared" si="20"/>
        <v>112.09657824896362</v>
      </c>
      <c r="AP28" s="20">
        <v>1950</v>
      </c>
      <c r="AQ28" s="20">
        <v>105</v>
      </c>
      <c r="AR28" s="19"/>
      <c r="AS28" s="18"/>
    </row>
    <row r="29" spans="1:45">
      <c r="A29" s="175"/>
      <c r="B29" s="118" t="s">
        <v>349</v>
      </c>
      <c r="C29" s="96" t="s">
        <v>42</v>
      </c>
      <c r="D29" s="98">
        <f t="shared" ca="1" si="16"/>
        <v>7040</v>
      </c>
      <c r="E29" s="98">
        <v>110</v>
      </c>
      <c r="F29" s="96">
        <v>3094.5</v>
      </c>
      <c r="G29" s="99">
        <f t="shared" ca="1" si="13"/>
        <v>0.43955965909090911</v>
      </c>
      <c r="H29" s="99">
        <v>98.875</v>
      </c>
      <c r="I29" s="100" t="str">
        <f t="shared" ca="1" si="14"/>
        <v>B2</v>
      </c>
      <c r="J29" s="96">
        <v>5222</v>
      </c>
      <c r="K29" s="99">
        <f t="shared" ca="1" si="15"/>
        <v>0.74176136363636369</v>
      </c>
      <c r="L29" s="99">
        <v>90.927078269324255</v>
      </c>
      <c r="M29" s="100" t="str">
        <f t="shared" ca="1" si="17"/>
        <v>C2</v>
      </c>
      <c r="N29" s="105"/>
      <c r="O29" s="104">
        <v>3</v>
      </c>
      <c r="P29" s="104" t="s">
        <v>221</v>
      </c>
      <c r="Q29" s="104" cm="1">
        <f t="array" aca="1" ref="Q29" ca="1">OFFSET(INDIRECT(ADDRESS(MATCH(O29&amp;P29,$AB$1:$AB$56,0),COLUMN($AB$3))),MATCH($E29,$AC$3:$AC$12,-1),14)</f>
        <v>1760</v>
      </c>
      <c r="R29" s="120" t="s">
        <v>275</v>
      </c>
      <c r="S29" s="121" t="s">
        <v>287</v>
      </c>
      <c r="T29" s="94"/>
      <c r="U29" s="94"/>
      <c r="V29" s="94"/>
      <c r="W29" s="94"/>
      <c r="X29" s="94"/>
      <c r="Y29" s="94"/>
      <c r="Z29" s="94"/>
      <c r="AA29" s="92">
        <v>4</v>
      </c>
      <c r="AB29" s="19"/>
      <c r="AC29" s="20"/>
      <c r="AD29" s="20">
        <v>110</v>
      </c>
      <c r="AE29" s="20">
        <v>1500</v>
      </c>
      <c r="AF29" s="112" t="s">
        <v>211</v>
      </c>
      <c r="AG29" s="19">
        <v>110.29</v>
      </c>
      <c r="AH29" s="19" t="str">
        <f t="shared" si="18"/>
        <v>-(</v>
      </c>
      <c r="AI29" s="18">
        <v>12.157999999999999</v>
      </c>
      <c r="AJ29" s="18" t="s">
        <v>212</v>
      </c>
      <c r="AK29" s="18">
        <v>1562.8</v>
      </c>
      <c r="AL29" s="18" t="str">
        <f t="shared" si="19"/>
        <v>)/</v>
      </c>
      <c r="AM29" s="18">
        <v>413.03</v>
      </c>
      <c r="AN29" s="18" t="s">
        <v>213</v>
      </c>
      <c r="AO29" s="115">
        <f t="shared" si="20"/>
        <v>110.01970461034344</v>
      </c>
      <c r="AP29" s="20">
        <v>1900</v>
      </c>
      <c r="AQ29" s="20">
        <v>100</v>
      </c>
      <c r="AR29" s="19"/>
      <c r="AS29" s="18"/>
    </row>
    <row r="30" spans="1:45">
      <c r="A30" s="175"/>
      <c r="B30" s="123" t="s">
        <v>350</v>
      </c>
      <c r="C30" s="124" t="s">
        <v>43</v>
      </c>
      <c r="D30" s="125">
        <f t="shared" ca="1" si="16"/>
        <v>6000</v>
      </c>
      <c r="E30" s="125">
        <v>110</v>
      </c>
      <c r="F30" s="124">
        <v>5733.8</v>
      </c>
      <c r="G30" s="126">
        <f t="shared" ca="1" si="13"/>
        <v>0.95563333333333333</v>
      </c>
      <c r="H30" s="126">
        <v>24.875315214345754</v>
      </c>
      <c r="I30" s="127" t="str">
        <f t="shared" ca="1" si="14"/>
        <v>E5</v>
      </c>
      <c r="J30" s="124">
        <v>3200.7</v>
      </c>
      <c r="K30" s="126">
        <f t="shared" ca="1" si="15"/>
        <v>0.53344999999999998</v>
      </c>
      <c r="L30" s="126">
        <v>98.698343848580436</v>
      </c>
      <c r="M30" s="127" t="str">
        <f t="shared" ca="1" si="17"/>
        <v>C2</v>
      </c>
      <c r="N30" s="105"/>
      <c r="O30" s="104">
        <v>3</v>
      </c>
      <c r="P30" s="104" t="s">
        <v>215</v>
      </c>
      <c r="Q30" s="104" cm="1">
        <f t="array" aca="1" ref="Q30" ca="1">OFFSET(INDIRECT(ADDRESS(MATCH(O30&amp;P30,$AB$1:$AB$56,0),COLUMN($AB$3))),MATCH($E30,$AC$3:$AC$12,-1),14)</f>
        <v>2000</v>
      </c>
      <c r="R30" s="120" t="s">
        <v>276</v>
      </c>
      <c r="S30" s="121"/>
      <c r="T30" s="94"/>
      <c r="U30" s="94"/>
      <c r="V30" s="94"/>
      <c r="W30" s="94"/>
      <c r="X30" s="94"/>
      <c r="Y30" s="94"/>
      <c r="Z30" s="94"/>
      <c r="AA30" s="92">
        <v>5</v>
      </c>
      <c r="AB30" s="93"/>
      <c r="AC30" s="20"/>
      <c r="AD30" s="20">
        <v>110</v>
      </c>
      <c r="AE30" s="20">
        <v>1900</v>
      </c>
      <c r="AF30" s="112" t="s">
        <v>211</v>
      </c>
      <c r="AG30" s="19">
        <v>108.92</v>
      </c>
      <c r="AH30" s="19" t="str">
        <f t="shared" si="18"/>
        <v>-(</v>
      </c>
      <c r="AI30" s="18">
        <v>39.216999999999999</v>
      </c>
      <c r="AJ30" s="18" t="s">
        <v>212</v>
      </c>
      <c r="AK30" s="18">
        <v>2464.3000000000002</v>
      </c>
      <c r="AL30" s="18" t="str">
        <f t="shared" si="19"/>
        <v>)/</v>
      </c>
      <c r="AM30" s="18">
        <v>458.29</v>
      </c>
      <c r="AN30" s="18" t="s">
        <v>213</v>
      </c>
      <c r="AO30" s="115">
        <f t="shared" si="20"/>
        <v>108.73961518971005</v>
      </c>
      <c r="AP30" s="20">
        <v>1900</v>
      </c>
      <c r="AQ30" s="20">
        <v>100</v>
      </c>
      <c r="AR30" s="19"/>
      <c r="AS30" s="18"/>
    </row>
    <row r="31" spans="1:45">
      <c r="A31" s="175"/>
      <c r="B31" s="118" t="s">
        <v>351</v>
      </c>
      <c r="C31" s="96" t="s">
        <v>42</v>
      </c>
      <c r="D31" s="98">
        <f t="shared" ca="1" si="16"/>
        <v>6000</v>
      </c>
      <c r="E31" s="98">
        <v>110</v>
      </c>
      <c r="F31" s="96">
        <v>2371.9</v>
      </c>
      <c r="G31" s="99">
        <f t="shared" ca="1" si="13"/>
        <v>0.39531666666666671</v>
      </c>
      <c r="H31" s="99">
        <v>101.37248322147651</v>
      </c>
      <c r="I31" s="100" t="str">
        <f t="shared" ca="1" si="14"/>
        <v>B1</v>
      </c>
      <c r="J31" s="96">
        <v>4761.2</v>
      </c>
      <c r="K31" s="99">
        <f t="shared" ca="1" si="15"/>
        <v>0.79353333333333331</v>
      </c>
      <c r="L31" s="99">
        <v>95.492387096774195</v>
      </c>
      <c r="M31" s="100" t="str">
        <f t="shared" ca="1" si="17"/>
        <v>C2</v>
      </c>
      <c r="N31" s="105"/>
      <c r="O31" s="104">
        <v>3</v>
      </c>
      <c r="P31" s="104" t="s">
        <v>215</v>
      </c>
      <c r="Q31" s="104" cm="1">
        <f t="array" aca="1" ref="Q31" ca="1">OFFSET(INDIRECT(ADDRESS(MATCH(O31&amp;P31,$AB$1:$AB$56,0),COLUMN($AB$3))),MATCH($E31,$AC$3:$AC$12,-1),14)</f>
        <v>2000</v>
      </c>
      <c r="R31" s="120" t="s">
        <v>277</v>
      </c>
      <c r="S31" s="105"/>
      <c r="T31" s="94"/>
      <c r="U31" s="94"/>
      <c r="V31" s="94"/>
      <c r="W31" s="94"/>
      <c r="X31" s="94"/>
      <c r="Y31" s="94"/>
      <c r="Z31" s="94"/>
      <c r="AA31" s="92">
        <v>6</v>
      </c>
      <c r="AB31" s="93"/>
      <c r="AC31" s="20">
        <v>100</v>
      </c>
      <c r="AD31" s="20">
        <v>105</v>
      </c>
      <c r="AE31" s="20">
        <v>1500</v>
      </c>
      <c r="AF31" s="112" t="s">
        <v>211</v>
      </c>
      <c r="AG31" s="19">
        <v>105.34</v>
      </c>
      <c r="AH31" s="19" t="str">
        <f t="shared" si="18"/>
        <v>-(</v>
      </c>
      <c r="AI31" s="18">
        <v>13.281000000000001</v>
      </c>
      <c r="AJ31" s="18" t="s">
        <v>212</v>
      </c>
      <c r="AK31" s="18">
        <v>1595.4</v>
      </c>
      <c r="AL31" s="18" t="str">
        <f t="shared" si="19"/>
        <v>)/</v>
      </c>
      <c r="AM31" s="18">
        <v>423.72</v>
      </c>
      <c r="AN31" s="18" t="s">
        <v>213</v>
      </c>
      <c r="AO31" s="115">
        <f t="shared" si="20"/>
        <v>105.0393432884282</v>
      </c>
      <c r="AP31" s="20">
        <v>1850</v>
      </c>
      <c r="AQ31" s="20">
        <v>95</v>
      </c>
      <c r="AR31" s="19"/>
      <c r="AS31" s="18"/>
    </row>
    <row r="32" spans="1:45">
      <c r="A32" s="175"/>
      <c r="B32" s="123" t="s">
        <v>352</v>
      </c>
      <c r="C32" s="124" t="s">
        <v>43</v>
      </c>
      <c r="D32" s="125">
        <f t="shared" ca="1" si="16"/>
        <v>6000</v>
      </c>
      <c r="E32" s="125">
        <v>110</v>
      </c>
      <c r="F32" s="124">
        <v>4626.0999999999995</v>
      </c>
      <c r="G32" s="126">
        <f t="shared" ca="1" si="13"/>
        <v>0.77101666666666657</v>
      </c>
      <c r="H32" s="126">
        <v>74.530715287517538</v>
      </c>
      <c r="I32" s="127" t="str">
        <f t="shared" ca="1" si="14"/>
        <v>C3</v>
      </c>
      <c r="J32" s="124">
        <v>2576.5000000000005</v>
      </c>
      <c r="K32" s="126">
        <f t="shared" ca="1" si="15"/>
        <v>0.42941666666666672</v>
      </c>
      <c r="L32" s="126">
        <v>98.991571641051067</v>
      </c>
      <c r="M32" s="127" t="str">
        <f t="shared" ca="1" si="17"/>
        <v>B2</v>
      </c>
      <c r="N32" s="105"/>
      <c r="O32" s="104">
        <v>3</v>
      </c>
      <c r="P32" s="104" t="s">
        <v>215</v>
      </c>
      <c r="Q32" s="104" cm="1">
        <f t="array" aca="1" ref="Q32" ca="1">OFFSET(INDIRECT(ADDRESS(MATCH(O32&amp;P32,$AB$1:$AB$56,0),COLUMN($AB$3))),MATCH($E32,$AC$3:$AC$12,-1),14)</f>
        <v>2000</v>
      </c>
      <c r="R32" s="120" t="s">
        <v>278</v>
      </c>
      <c r="S32" s="105"/>
      <c r="T32" s="94"/>
      <c r="U32" s="94"/>
      <c r="V32" s="94"/>
      <c r="W32" s="94"/>
      <c r="X32" s="94"/>
      <c r="Y32" s="94"/>
      <c r="Z32" s="94"/>
      <c r="AA32" s="92">
        <v>7</v>
      </c>
      <c r="AB32" s="19"/>
      <c r="AC32" s="20"/>
      <c r="AD32" s="20">
        <v>105</v>
      </c>
      <c r="AE32" s="20">
        <v>1850</v>
      </c>
      <c r="AF32" s="112" t="s">
        <v>211</v>
      </c>
      <c r="AG32" s="19">
        <v>101.03</v>
      </c>
      <c r="AH32" s="19" t="str">
        <f t="shared" si="18"/>
        <v>-(</v>
      </c>
      <c r="AI32" s="18">
        <v>12.298</v>
      </c>
      <c r="AJ32" s="18" t="s">
        <v>212</v>
      </c>
      <c r="AK32" s="18">
        <v>1858.1</v>
      </c>
      <c r="AL32" s="18" t="str">
        <f t="shared" si="19"/>
        <v>)/</v>
      </c>
      <c r="AM32" s="18">
        <v>184.22</v>
      </c>
      <c r="AN32" s="18" t="s">
        <v>213</v>
      </c>
      <c r="AO32" s="115">
        <f t="shared" si="20"/>
        <v>101.02948786118382</v>
      </c>
      <c r="AP32" s="20">
        <v>1850</v>
      </c>
      <c r="AQ32" s="20">
        <v>95</v>
      </c>
      <c r="AR32" s="19"/>
      <c r="AS32" s="18"/>
    </row>
    <row r="33" spans="1:49">
      <c r="A33" s="175"/>
      <c r="B33" s="118" t="s">
        <v>353</v>
      </c>
      <c r="C33" s="96" t="s">
        <v>42</v>
      </c>
      <c r="D33" s="98">
        <f t="shared" ca="1" si="16"/>
        <v>6000</v>
      </c>
      <c r="E33" s="98">
        <v>110</v>
      </c>
      <c r="F33" s="129">
        <f>F31*J33/J31</f>
        <v>2104.9790514996221</v>
      </c>
      <c r="G33" s="99">
        <f t="shared" ca="1" si="13"/>
        <v>0.35082984191660366</v>
      </c>
      <c r="H33" s="99">
        <v>99.903910149750416</v>
      </c>
      <c r="I33" s="100" t="str">
        <f t="shared" ca="1" si="14"/>
        <v>B1</v>
      </c>
      <c r="J33" s="96">
        <v>4225.3999999999996</v>
      </c>
      <c r="K33" s="99">
        <f t="shared" ca="1" si="15"/>
        <v>0.70423333333333327</v>
      </c>
      <c r="L33" s="99">
        <v>98.033568474823639</v>
      </c>
      <c r="M33" s="100" t="str">
        <f t="shared" ca="1" si="17"/>
        <v>C2</v>
      </c>
      <c r="N33" s="105"/>
      <c r="O33" s="104">
        <v>3</v>
      </c>
      <c r="P33" s="104" t="s">
        <v>215</v>
      </c>
      <c r="Q33" s="104" cm="1">
        <f t="array" aca="1" ref="Q33" ca="1">OFFSET(INDIRECT(ADDRESS(MATCH(O33&amp;P33,$AB$1:$AB$56,0),COLUMN($AB$3))),MATCH($E33,$AC$3:$AC$12,-1),14)</f>
        <v>2000</v>
      </c>
      <c r="R33" s="120" t="s">
        <v>279</v>
      </c>
      <c r="S33" s="105"/>
      <c r="T33" s="94"/>
      <c r="U33" s="94"/>
      <c r="V33" s="94"/>
      <c r="W33" s="94"/>
      <c r="X33" s="94"/>
      <c r="Y33" s="94"/>
      <c r="Z33" s="94"/>
      <c r="AA33" s="92">
        <v>8</v>
      </c>
      <c r="AB33" s="19"/>
      <c r="AC33" s="20">
        <v>90</v>
      </c>
      <c r="AD33" s="20">
        <v>100</v>
      </c>
      <c r="AE33" s="20">
        <v>1500</v>
      </c>
      <c r="AF33" s="112" t="s">
        <v>211</v>
      </c>
      <c r="AG33" s="19">
        <v>100.34</v>
      </c>
      <c r="AH33" s="19" t="str">
        <f t="shared" si="18"/>
        <v>-(</v>
      </c>
      <c r="AI33" s="18">
        <v>14.082000000000001</v>
      </c>
      <c r="AJ33" s="18" t="s">
        <v>212</v>
      </c>
      <c r="AK33" s="18">
        <v>1697.6</v>
      </c>
      <c r="AL33" s="18" t="str">
        <f t="shared" si="19"/>
        <v>)/</v>
      </c>
      <c r="AM33" s="18">
        <v>450.87</v>
      </c>
      <c r="AN33" s="18" t="s">
        <v>213</v>
      </c>
      <c r="AO33" s="115">
        <f t="shared" si="20"/>
        <v>100.02119234417552</v>
      </c>
      <c r="AP33" s="20">
        <v>1800</v>
      </c>
      <c r="AQ33" s="20">
        <v>90</v>
      </c>
      <c r="AR33" s="19"/>
      <c r="AS33" s="18"/>
    </row>
    <row r="34" spans="1:49" ht="16.5" customHeight="1">
      <c r="A34" s="175"/>
      <c r="B34" s="123" t="s">
        <v>354</v>
      </c>
      <c r="C34" s="124" t="s">
        <v>43</v>
      </c>
      <c r="D34" s="125">
        <f t="shared" ca="1" si="16"/>
        <v>6000</v>
      </c>
      <c r="E34" s="125">
        <v>110</v>
      </c>
      <c r="F34" s="130">
        <f>F32*J34/J32</f>
        <v>4687.1469241218692</v>
      </c>
      <c r="G34" s="126">
        <f t="shared" ca="1" si="13"/>
        <v>0.78119115402031158</v>
      </c>
      <c r="H34" s="126">
        <v>91.4064901793339</v>
      </c>
      <c r="I34" s="127" t="str">
        <f t="shared" ca="1" si="14"/>
        <v>C2</v>
      </c>
      <c r="J34" s="124">
        <v>2610.5</v>
      </c>
      <c r="K34" s="126">
        <f t="shared" ca="1" si="15"/>
        <v>0.43508333333333332</v>
      </c>
      <c r="L34" s="126">
        <v>100.91078431372549</v>
      </c>
      <c r="M34" s="127" t="str">
        <f t="shared" ca="1" si="17"/>
        <v>B1</v>
      </c>
      <c r="N34" s="105"/>
      <c r="O34" s="104">
        <v>3</v>
      </c>
      <c r="P34" s="104" t="s">
        <v>215</v>
      </c>
      <c r="Q34" s="104" cm="1">
        <f t="array" aca="1" ref="Q34" ca="1">OFFSET(INDIRECT(ADDRESS(MATCH(O34&amp;P34,$AB$1:$AB$56,0),COLUMN($AB$3))),MATCH($E34,$AC$3:$AC$12,-1),14)</f>
        <v>2000</v>
      </c>
      <c r="R34" s="120" t="s">
        <v>280</v>
      </c>
      <c r="S34" s="105"/>
      <c r="T34" s="94"/>
      <c r="U34" s="94"/>
      <c r="V34" s="94"/>
      <c r="W34" s="94"/>
      <c r="X34" s="94"/>
      <c r="Y34" s="94"/>
      <c r="Z34" s="94"/>
      <c r="AA34" s="92">
        <v>9</v>
      </c>
      <c r="AB34" s="19"/>
      <c r="AC34" s="20"/>
      <c r="AD34" s="20">
        <v>100</v>
      </c>
      <c r="AE34" s="20">
        <v>1800</v>
      </c>
      <c r="AF34" s="112" t="s">
        <v>211</v>
      </c>
      <c r="AG34" s="19">
        <v>95.57</v>
      </c>
      <c r="AH34" s="19" t="str">
        <f t="shared" si="18"/>
        <v>-(</v>
      </c>
      <c r="AI34" s="18">
        <v>20.163</v>
      </c>
      <c r="AJ34" s="18" t="s">
        <v>212</v>
      </c>
      <c r="AK34" s="18">
        <v>1927.7</v>
      </c>
      <c r="AL34" s="18" t="str">
        <f t="shared" si="19"/>
        <v>)/</v>
      </c>
      <c r="AM34" s="18">
        <v>131.33000000000001</v>
      </c>
      <c r="AN34" s="18" t="s">
        <v>213</v>
      </c>
      <c r="AO34" s="115">
        <f t="shared" si="20"/>
        <v>95.569991491479684</v>
      </c>
      <c r="AP34" s="20">
        <v>1800</v>
      </c>
      <c r="AQ34" s="20">
        <v>90</v>
      </c>
      <c r="AR34" s="19"/>
      <c r="AS34" s="18"/>
    </row>
    <row r="35" spans="1:49" ht="16.5" customHeight="1">
      <c r="A35" s="175"/>
      <c r="B35" s="118" t="s">
        <v>355</v>
      </c>
      <c r="C35" s="96" t="s">
        <v>42</v>
      </c>
      <c r="D35" s="98">
        <f t="shared" ca="1" si="16"/>
        <v>6000</v>
      </c>
      <c r="E35" s="98">
        <v>110</v>
      </c>
      <c r="F35" s="96">
        <v>2415.6999999999998</v>
      </c>
      <c r="G35" s="99">
        <f t="shared" ca="1" si="13"/>
        <v>0.40261666666666662</v>
      </c>
      <c r="H35" s="99">
        <v>103.68577777777777</v>
      </c>
      <c r="I35" s="100" t="str">
        <f t="shared" ca="1" si="14"/>
        <v>B1</v>
      </c>
      <c r="J35" s="96">
        <v>4159</v>
      </c>
      <c r="K35" s="99">
        <f t="shared" ca="1" si="15"/>
        <v>0.69316666666666671</v>
      </c>
      <c r="L35" s="99">
        <v>99.625918153200416</v>
      </c>
      <c r="M35" s="100" t="str">
        <f t="shared" ca="1" si="17"/>
        <v>C1</v>
      </c>
      <c r="N35" s="105"/>
      <c r="O35" s="104">
        <v>3</v>
      </c>
      <c r="P35" s="104" t="s">
        <v>215</v>
      </c>
      <c r="Q35" s="104" cm="1">
        <f t="array" aca="1" ref="Q35" ca="1">OFFSET(INDIRECT(ADDRESS(MATCH(O35&amp;P35,$AB$1:$AB$56,0),COLUMN($AB$3))),MATCH($E35,$AC$3:$AC$12,-1),14)</f>
        <v>2000</v>
      </c>
      <c r="R35" s="120" t="s">
        <v>281</v>
      </c>
      <c r="S35" s="105"/>
      <c r="T35" s="94"/>
      <c r="U35" s="94"/>
      <c r="V35" s="94"/>
      <c r="W35" s="94"/>
      <c r="X35" s="94"/>
      <c r="Y35" s="94"/>
      <c r="Z35" s="94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8"/>
    </row>
    <row r="36" spans="1:49" ht="16.5" customHeight="1">
      <c r="A36" s="175"/>
      <c r="B36" s="123" t="s">
        <v>356</v>
      </c>
      <c r="C36" s="124" t="s">
        <v>43</v>
      </c>
      <c r="D36" s="125">
        <f t="shared" ca="1" si="16"/>
        <v>6000</v>
      </c>
      <c r="E36" s="125">
        <v>110</v>
      </c>
      <c r="F36" s="124">
        <v>4532</v>
      </c>
      <c r="G36" s="126">
        <f t="shared" ca="1" si="13"/>
        <v>0.7553333333333333</v>
      </c>
      <c r="H36" s="126">
        <v>102.4795261395828</v>
      </c>
      <c r="I36" s="127" t="str">
        <f t="shared" ca="1" si="14"/>
        <v>C1</v>
      </c>
      <c r="J36" s="124">
        <v>2602.3000000000002</v>
      </c>
      <c r="K36" s="126">
        <f t="shared" ca="1" si="15"/>
        <v>0.43371666666666669</v>
      </c>
      <c r="L36" s="126">
        <v>104.57047260560435</v>
      </c>
      <c r="M36" s="127" t="str">
        <f t="shared" ca="1" si="17"/>
        <v>B1</v>
      </c>
      <c r="N36" s="105"/>
      <c r="O36" s="104">
        <v>3</v>
      </c>
      <c r="P36" s="104" t="s">
        <v>215</v>
      </c>
      <c r="Q36" s="104" cm="1">
        <f t="array" aca="1" ref="Q36" ca="1">OFFSET(INDIRECT(ADDRESS(MATCH(O36&amp;P36,$AB$1:$AB$56,0),COLUMN($AB$3))),MATCH($E36,$AC$3:$AC$12,-1),14)</f>
        <v>2000</v>
      </c>
      <c r="R36" s="120" t="s">
        <v>282</v>
      </c>
      <c r="S36" s="105"/>
      <c r="AB36" s="111" t="s">
        <v>216</v>
      </c>
      <c r="AC36" s="111"/>
      <c r="AD36" s="19" t="s">
        <v>232</v>
      </c>
      <c r="AE36" s="19"/>
      <c r="AF36" s="112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8"/>
    </row>
    <row r="37" spans="1:49">
      <c r="A37" s="175"/>
      <c r="B37" s="118" t="s">
        <v>357</v>
      </c>
      <c r="C37" s="96" t="s">
        <v>42</v>
      </c>
      <c r="D37" s="98">
        <f t="shared" ca="1" si="16"/>
        <v>6000</v>
      </c>
      <c r="E37" s="98">
        <v>110</v>
      </c>
      <c r="F37" s="96">
        <v>2524.2000000000003</v>
      </c>
      <c r="G37" s="99">
        <f t="shared" ca="1" si="13"/>
        <v>0.42070000000000002</v>
      </c>
      <c r="H37" s="99">
        <v>102.38207547169812</v>
      </c>
      <c r="I37" s="100" t="str">
        <f t="shared" ca="1" si="14"/>
        <v>B1</v>
      </c>
      <c r="J37" s="96">
        <v>4060.3</v>
      </c>
      <c r="K37" s="99">
        <f t="shared" ca="1" si="15"/>
        <v>0.67671666666666674</v>
      </c>
      <c r="L37" s="99">
        <v>100.30427631578948</v>
      </c>
      <c r="M37" s="100" t="str">
        <f t="shared" ca="1" si="17"/>
        <v>C1</v>
      </c>
      <c r="N37" s="105"/>
      <c r="O37" s="104">
        <v>3</v>
      </c>
      <c r="P37" s="104" t="s">
        <v>215</v>
      </c>
      <c r="Q37" s="104" cm="1">
        <f t="array" aca="1" ref="Q37" ca="1">OFFSET(INDIRECT(ADDRESS(MATCH(O37&amp;P37,$AB$1:$AB$56,0),COLUMN($AB$3))),MATCH($E37,$AC$3:$AC$12,-1),14)</f>
        <v>2000</v>
      </c>
      <c r="R37" s="120" t="s">
        <v>283</v>
      </c>
      <c r="S37" s="105"/>
      <c r="AA37" s="92">
        <v>1</v>
      </c>
      <c r="AB37" s="19"/>
      <c r="AC37" s="20" t="s">
        <v>223</v>
      </c>
      <c r="AD37" s="20" t="s">
        <v>224</v>
      </c>
      <c r="AE37" s="20" t="s">
        <v>225</v>
      </c>
      <c r="AF37" s="162" t="s">
        <v>226</v>
      </c>
      <c r="AG37" s="162"/>
      <c r="AH37" s="162"/>
      <c r="AI37" s="162"/>
      <c r="AJ37" s="162"/>
      <c r="AK37" s="162"/>
      <c r="AL37" s="162"/>
      <c r="AM37" s="162"/>
      <c r="AN37" s="162"/>
      <c r="AO37" s="20" t="s">
        <v>227</v>
      </c>
      <c r="AP37" s="20" t="s">
        <v>228</v>
      </c>
      <c r="AQ37" s="20" t="s">
        <v>229</v>
      </c>
      <c r="AR37" s="19"/>
      <c r="AS37" s="117"/>
      <c r="AU37" s="20" t="s">
        <v>218</v>
      </c>
      <c r="AV37" s="20" t="s">
        <v>216</v>
      </c>
      <c r="AW37" s="20"/>
    </row>
    <row r="38" spans="1:49" ht="16.5" customHeight="1">
      <c r="A38" s="175"/>
      <c r="B38" s="123" t="s">
        <v>358</v>
      </c>
      <c r="C38" s="124" t="s">
        <v>43</v>
      </c>
      <c r="D38" s="125">
        <f t="shared" ca="1" si="16"/>
        <v>6000</v>
      </c>
      <c r="E38" s="125">
        <v>110</v>
      </c>
      <c r="F38" s="124">
        <v>4607.3999999999996</v>
      </c>
      <c r="G38" s="126">
        <f t="shared" ca="1" si="13"/>
        <v>0.76789999999999992</v>
      </c>
      <c r="H38" s="126">
        <v>101.3908013544018</v>
      </c>
      <c r="I38" s="127" t="str">
        <f t="shared" ca="1" si="14"/>
        <v>C1</v>
      </c>
      <c r="J38" s="124">
        <v>2562.8000000000002</v>
      </c>
      <c r="K38" s="126">
        <f t="shared" ca="1" si="15"/>
        <v>0.42713333333333336</v>
      </c>
      <c r="L38" s="126">
        <v>103.5770786516854</v>
      </c>
      <c r="M38" s="127" t="str">
        <f t="shared" ca="1" si="17"/>
        <v>B1</v>
      </c>
      <c r="N38" s="105"/>
      <c r="O38" s="104">
        <v>3</v>
      </c>
      <c r="P38" s="104" t="s">
        <v>215</v>
      </c>
      <c r="Q38" s="104" cm="1">
        <f t="array" aca="1" ref="Q38" ca="1">OFFSET(INDIRECT(ADDRESS(MATCH(O38&amp;P38,$AB$1:$AB$56,0),COLUMN($AB$3))),MATCH($E38,$AC$3:$AC$12,-1),14)</f>
        <v>2000</v>
      </c>
      <c r="R38" s="120" t="s">
        <v>284</v>
      </c>
      <c r="S38" s="121"/>
      <c r="AA38" s="92">
        <v>2</v>
      </c>
      <c r="AB38" s="19"/>
      <c r="AC38" s="20">
        <v>110</v>
      </c>
      <c r="AD38" s="20">
        <v>115</v>
      </c>
      <c r="AE38" s="20">
        <v>1500</v>
      </c>
      <c r="AF38" s="112" t="s">
        <v>211</v>
      </c>
      <c r="AG38" s="19">
        <v>117.17</v>
      </c>
      <c r="AH38" s="19" t="str">
        <f t="shared" ref="AH38:AH45" si="21">"-("</f>
        <v>-(</v>
      </c>
      <c r="AI38" s="18">
        <v>37.722000000000001</v>
      </c>
      <c r="AJ38" s="18" t="s">
        <v>212</v>
      </c>
      <c r="AK38" s="18">
        <v>2105.1999999999998</v>
      </c>
      <c r="AL38" s="18" t="str">
        <f t="shared" ref="AL38:AL45" si="22">")/"</f>
        <v>)/</v>
      </c>
      <c r="AM38" s="18">
        <v>751.37</v>
      </c>
      <c r="AN38" s="18" t="s">
        <v>213</v>
      </c>
      <c r="AO38" s="115">
        <f t="shared" ref="AO38:AO45" si="23">AG38-(AI38/(1+EXP(-(AS38-AK38)/AM38)))</f>
        <v>115.01131492187329</v>
      </c>
      <c r="AP38" s="20">
        <v>1730</v>
      </c>
      <c r="AQ38" s="20">
        <v>100</v>
      </c>
      <c r="AR38" s="19"/>
      <c r="AS38" s="18"/>
      <c r="AU38" s="20">
        <f t="shared" ref="AU38:AU45" si="24">AP5*2</f>
        <v>4100</v>
      </c>
      <c r="AV38" s="20">
        <f>AP38*3</f>
        <v>5190</v>
      </c>
      <c r="AW38" s="20">
        <f t="shared" ref="AW38:AW45" si="25">AV38-AU38</f>
        <v>1090</v>
      </c>
    </row>
    <row r="39" spans="1:49">
      <c r="A39" s="175"/>
      <c r="B39" s="118" t="s">
        <v>359</v>
      </c>
      <c r="C39" s="96" t="s">
        <v>42</v>
      </c>
      <c r="D39" s="98">
        <f t="shared" ca="1" si="16"/>
        <v>6000</v>
      </c>
      <c r="E39" s="98">
        <v>110</v>
      </c>
      <c r="F39" s="96">
        <v>2375.9</v>
      </c>
      <c r="G39" s="99">
        <f t="shared" ca="1" si="13"/>
        <v>0.39598333333333335</v>
      </c>
      <c r="H39" s="99">
        <v>97.15391747797868</v>
      </c>
      <c r="I39" s="100" t="str">
        <f t="shared" ca="1" si="14"/>
        <v>B2</v>
      </c>
      <c r="J39" s="96">
        <v>4002.5</v>
      </c>
      <c r="K39" s="99">
        <f t="shared" ca="1" si="15"/>
        <v>0.66708333333333336</v>
      </c>
      <c r="L39" s="99">
        <v>97.409376031693625</v>
      </c>
      <c r="M39" s="100" t="str">
        <f t="shared" ca="1" si="17"/>
        <v>C2</v>
      </c>
      <c r="N39" s="105"/>
      <c r="O39" s="104">
        <v>3</v>
      </c>
      <c r="P39" s="104" t="s">
        <v>215</v>
      </c>
      <c r="Q39" s="104" cm="1">
        <f t="array" aca="1" ref="Q39" ca="1">OFFSET(INDIRECT(ADDRESS(MATCH(O39&amp;P39,$AB$1:$AB$56,0),COLUMN($AB$3))),MATCH($E39,$AC$3:$AC$12,-1),14)</f>
        <v>2000</v>
      </c>
      <c r="R39" s="120" t="s">
        <v>285</v>
      </c>
      <c r="S39" s="121"/>
      <c r="AA39" s="92">
        <v>3</v>
      </c>
      <c r="AB39" s="19"/>
      <c r="AC39" s="20"/>
      <c r="AD39" s="20">
        <v>115</v>
      </c>
      <c r="AE39" s="20">
        <v>1730</v>
      </c>
      <c r="AF39" s="112" t="s">
        <v>211</v>
      </c>
      <c r="AG39" s="19">
        <v>110.01</v>
      </c>
      <c r="AH39" s="19" t="str">
        <f t="shared" si="21"/>
        <v>-(</v>
      </c>
      <c r="AI39" s="18">
        <v>23.71</v>
      </c>
      <c r="AJ39" s="18" t="s">
        <v>212</v>
      </c>
      <c r="AK39" s="18">
        <v>1947.9</v>
      </c>
      <c r="AL39" s="18" t="str">
        <f t="shared" si="22"/>
        <v>)/</v>
      </c>
      <c r="AM39" s="18">
        <v>309.48</v>
      </c>
      <c r="AN39" s="18" t="s">
        <v>213</v>
      </c>
      <c r="AO39" s="115">
        <f t="shared" si="23"/>
        <v>109.96628459833904</v>
      </c>
      <c r="AP39" s="20">
        <v>1730</v>
      </c>
      <c r="AQ39" s="20">
        <v>100</v>
      </c>
      <c r="AR39" s="19"/>
      <c r="AS39" s="18"/>
      <c r="AU39" s="20">
        <f t="shared" si="24"/>
        <v>4100</v>
      </c>
      <c r="AV39" s="20">
        <f t="shared" ref="AV39:AV45" si="26">AP39*3</f>
        <v>5190</v>
      </c>
      <c r="AW39" s="20">
        <f t="shared" si="25"/>
        <v>1090</v>
      </c>
    </row>
    <row r="40" spans="1:49">
      <c r="A40" s="176"/>
      <c r="B40" s="123" t="s">
        <v>360</v>
      </c>
      <c r="C40" s="124" t="s">
        <v>43</v>
      </c>
      <c r="D40" s="125">
        <f t="shared" ca="1" si="16"/>
        <v>6000</v>
      </c>
      <c r="E40" s="125">
        <v>110</v>
      </c>
      <c r="F40" s="124">
        <v>4705.8</v>
      </c>
      <c r="G40" s="126">
        <f t="shared" ca="1" si="13"/>
        <v>0.7843</v>
      </c>
      <c r="H40" s="126">
        <v>99.057779324747656</v>
      </c>
      <c r="I40" s="127" t="str">
        <f t="shared" ca="1" si="14"/>
        <v>C1</v>
      </c>
      <c r="J40" s="124">
        <v>2285.0000000000005</v>
      </c>
      <c r="K40" s="126">
        <f t="shared" ca="1" si="15"/>
        <v>0.38083333333333341</v>
      </c>
      <c r="L40" s="126">
        <v>103.40589711417817</v>
      </c>
      <c r="M40" s="127" t="str">
        <f t="shared" ca="1" si="17"/>
        <v>B1</v>
      </c>
      <c r="N40" s="105"/>
      <c r="O40" s="104">
        <v>3</v>
      </c>
      <c r="P40" s="104" t="s">
        <v>215</v>
      </c>
      <c r="Q40" s="104" cm="1">
        <f t="array" aca="1" ref="Q40" ca="1">OFFSET(INDIRECT(ADDRESS(MATCH(O40&amp;P40,$AB$1:$AB$56,0),COLUMN($AB$3))),MATCH($E40,$AC$3:$AC$12,-1),14)</f>
        <v>2000</v>
      </c>
      <c r="R40" s="120" t="s">
        <v>286</v>
      </c>
      <c r="S40" s="122"/>
      <c r="AA40" s="92">
        <v>4</v>
      </c>
      <c r="AB40" s="19"/>
      <c r="AC40" s="20"/>
      <c r="AD40" s="20">
        <v>110</v>
      </c>
      <c r="AE40" s="20">
        <v>1500</v>
      </c>
      <c r="AF40" s="112" t="s">
        <v>211</v>
      </c>
      <c r="AG40" s="19">
        <v>111.62</v>
      </c>
      <c r="AH40" s="19" t="str">
        <f t="shared" si="21"/>
        <v>-(</v>
      </c>
      <c r="AI40" s="18">
        <v>31.37</v>
      </c>
      <c r="AJ40" s="18" t="s">
        <v>212</v>
      </c>
      <c r="AK40" s="18">
        <v>1839.4</v>
      </c>
      <c r="AL40" s="18" t="str">
        <f t="shared" si="22"/>
        <v>)/</v>
      </c>
      <c r="AM40" s="18">
        <v>634.26</v>
      </c>
      <c r="AN40" s="18" t="s">
        <v>213</v>
      </c>
      <c r="AO40" s="115">
        <f t="shared" si="23"/>
        <v>109.98405519006468</v>
      </c>
      <c r="AP40" s="20">
        <v>1700</v>
      </c>
      <c r="AQ40" s="20">
        <v>95</v>
      </c>
      <c r="AR40" s="19"/>
      <c r="AS40" s="18"/>
      <c r="AU40" s="20">
        <f t="shared" si="24"/>
        <v>4000</v>
      </c>
      <c r="AV40" s="20">
        <f t="shared" si="26"/>
        <v>5100</v>
      </c>
      <c r="AW40" s="20">
        <f t="shared" si="25"/>
        <v>1100</v>
      </c>
    </row>
    <row r="41" spans="1:49">
      <c r="Q41" s="105"/>
      <c r="AA41" s="92">
        <v>5</v>
      </c>
      <c r="AB41" s="19"/>
      <c r="AC41" s="20"/>
      <c r="AD41" s="20">
        <v>110</v>
      </c>
      <c r="AE41" s="20">
        <v>1700</v>
      </c>
      <c r="AF41" s="112" t="s">
        <v>211</v>
      </c>
      <c r="AG41" s="19">
        <v>104.32</v>
      </c>
      <c r="AH41" s="19" t="str">
        <f t="shared" si="21"/>
        <v>-(</v>
      </c>
      <c r="AI41" s="18">
        <v>18.463999999999999</v>
      </c>
      <c r="AJ41" s="18" t="s">
        <v>212</v>
      </c>
      <c r="AK41" s="18">
        <v>1794.7</v>
      </c>
      <c r="AL41" s="18" t="str">
        <f t="shared" si="22"/>
        <v>)/</v>
      </c>
      <c r="AM41" s="18">
        <v>246.49</v>
      </c>
      <c r="AN41" s="18" t="s">
        <v>213</v>
      </c>
      <c r="AO41" s="115">
        <f t="shared" si="23"/>
        <v>104.30729666791832</v>
      </c>
      <c r="AP41" s="20">
        <v>1700</v>
      </c>
      <c r="AQ41" s="20">
        <v>95</v>
      </c>
      <c r="AR41" s="19"/>
      <c r="AS41" s="18"/>
      <c r="AU41" s="20">
        <f t="shared" si="24"/>
        <v>4000</v>
      </c>
      <c r="AV41" s="20">
        <f t="shared" si="26"/>
        <v>5100</v>
      </c>
      <c r="AW41" s="20">
        <f t="shared" si="25"/>
        <v>1100</v>
      </c>
    </row>
    <row r="42" spans="1:49">
      <c r="Q42" s="105"/>
      <c r="AA42" s="92">
        <v>6</v>
      </c>
      <c r="AB42" s="19"/>
      <c r="AC42" s="20">
        <v>100</v>
      </c>
      <c r="AD42" s="20">
        <v>105</v>
      </c>
      <c r="AE42" s="20">
        <v>1500</v>
      </c>
      <c r="AF42" s="112" t="s">
        <v>211</v>
      </c>
      <c r="AG42" s="19">
        <v>106.73</v>
      </c>
      <c r="AH42" s="19" t="str">
        <f t="shared" si="21"/>
        <v>-(</v>
      </c>
      <c r="AI42" s="18">
        <v>30.713999999999999</v>
      </c>
      <c r="AJ42" s="18" t="s">
        <v>212</v>
      </c>
      <c r="AK42" s="18">
        <v>1746.1</v>
      </c>
      <c r="AL42" s="18" t="str">
        <f t="shared" si="22"/>
        <v>)/</v>
      </c>
      <c r="AM42" s="18">
        <v>611.5</v>
      </c>
      <c r="AN42" s="18" t="s">
        <v>213</v>
      </c>
      <c r="AO42" s="115">
        <f t="shared" si="23"/>
        <v>105.0591298913602</v>
      </c>
      <c r="AP42" s="20">
        <v>1670</v>
      </c>
      <c r="AQ42" s="20">
        <v>90</v>
      </c>
      <c r="AR42" s="19"/>
      <c r="AS42" s="18"/>
      <c r="AU42" s="20">
        <f t="shared" si="24"/>
        <v>3900</v>
      </c>
      <c r="AV42" s="20">
        <f t="shared" si="26"/>
        <v>5010</v>
      </c>
      <c r="AW42" s="20">
        <f t="shared" si="25"/>
        <v>1110</v>
      </c>
    </row>
    <row r="43" spans="1:49">
      <c r="A43" s="174" t="s">
        <v>289</v>
      </c>
      <c r="B43" s="141" t="s">
        <v>290</v>
      </c>
      <c r="C43" s="129" t="s">
        <v>40</v>
      </c>
      <c r="D43" s="129">
        <f ca="1">Q43*(O43+IF(P43="Y",1,0))+N43</f>
        <v>5550</v>
      </c>
      <c r="E43" s="129">
        <v>80</v>
      </c>
      <c r="F43" s="129">
        <v>2408.2999999999997</v>
      </c>
      <c r="G43" s="137">
        <f t="shared" ref="G43:G60" ca="1" si="27">F43/D43</f>
        <v>0.43392792792792789</v>
      </c>
      <c r="H43" s="137">
        <v>69.816954238559646</v>
      </c>
      <c r="I43" s="138" t="str">
        <f t="shared" ref="I43:I60" ca="1" si="28">IF(G43&lt;=$U$4,"A",IF(G43&lt;=$U$5,"B",IF(G43&lt;=$U$6,"C",IF(G43&lt;=$U$7,"D",IF(G43&lt;=$U$8,"E","F")))))&amp;IF(H43/E43&gt;=$W$4,1,IF(H43/E43&gt;=$W$5,2,IF(H43/E43&gt;=$W$6,3,IF(H43/E43&gt;=$W$7,4,IF(H43/E43&gt;=$W$8,5,6)))))</f>
        <v>B2</v>
      </c>
      <c r="J43" s="129">
        <v>4066.5</v>
      </c>
      <c r="K43" s="137">
        <f t="shared" ref="K43:K60" ca="1" si="29">J43/D43</f>
        <v>0.73270270270270266</v>
      </c>
      <c r="L43" s="137">
        <v>68.211153358681869</v>
      </c>
      <c r="M43" s="138" t="str">
        <f ca="1">IF(K43&lt;=$U$4,"A",IF(K43&lt;=$U$5,"B",IF(K43&lt;=$U$6,"C",IF(K43&lt;=$U$7,"D",IF(K43&lt;=$U$8,"E","F")))))&amp;IF(L43/E43&gt;=$W$4,1,IF(L43/E43&gt;=$W$5,2,IF(L43/E43&gt;=$W$6,3,IF(L43/E43&gt;=$W$7,4,IF(L43/E43&gt;=$W$8,5,6)))))</f>
        <v>C2</v>
      </c>
      <c r="N43" s="104"/>
      <c r="O43" s="104">
        <v>3</v>
      </c>
      <c r="P43" s="104" t="s">
        <v>302</v>
      </c>
      <c r="Q43" s="104" cm="1">
        <f t="array" aca="1" ref="Q43" ca="1">OFFSET(INDIRECT(ADDRESS(MATCH(O43&amp;P43,$AB$1:$AB$56,0),COLUMN($AB$3))),MATCH($E43,$AC$3:$AC$12,-1),14)</f>
        <v>1850</v>
      </c>
      <c r="R43" s="122" t="s">
        <v>303</v>
      </c>
      <c r="S43" s="122"/>
      <c r="AA43" s="92">
        <v>7</v>
      </c>
      <c r="AB43" s="19"/>
      <c r="AC43" s="20"/>
      <c r="AD43" s="20">
        <v>105</v>
      </c>
      <c r="AE43" s="20">
        <v>1670</v>
      </c>
      <c r="AF43" s="112" t="s">
        <v>211</v>
      </c>
      <c r="AG43" s="19">
        <v>99.65</v>
      </c>
      <c r="AH43" s="19" t="str">
        <f t="shared" si="21"/>
        <v>-(</v>
      </c>
      <c r="AI43" s="18">
        <v>33.186</v>
      </c>
      <c r="AJ43" s="18" t="s">
        <v>212</v>
      </c>
      <c r="AK43" s="18">
        <v>2015.8</v>
      </c>
      <c r="AL43" s="18" t="str">
        <f t="shared" si="22"/>
        <v>)/</v>
      </c>
      <c r="AM43" s="18">
        <v>298.08</v>
      </c>
      <c r="AN43" s="18" t="s">
        <v>213</v>
      </c>
      <c r="AO43" s="115">
        <f t="shared" si="23"/>
        <v>99.611674564771889</v>
      </c>
      <c r="AP43" s="20">
        <v>1670</v>
      </c>
      <c r="AQ43" s="20">
        <v>90</v>
      </c>
      <c r="AR43" s="19"/>
      <c r="AS43" s="18"/>
      <c r="AU43" s="20">
        <f t="shared" si="24"/>
        <v>3900</v>
      </c>
      <c r="AV43" s="20">
        <f t="shared" si="26"/>
        <v>5010</v>
      </c>
      <c r="AW43" s="20">
        <f t="shared" si="25"/>
        <v>1110</v>
      </c>
    </row>
    <row r="44" spans="1:49">
      <c r="A44" s="174"/>
      <c r="B44" s="142" t="s">
        <v>291</v>
      </c>
      <c r="C44" s="130" t="s">
        <v>41</v>
      </c>
      <c r="D44" s="130">
        <f t="shared" ref="D44:D60" ca="1" si="30">Q44*(O44+IF(P44="Y",1,0))+N44</f>
        <v>5550</v>
      </c>
      <c r="E44" s="130">
        <v>80</v>
      </c>
      <c r="F44" s="130">
        <v>4128.2000000000007</v>
      </c>
      <c r="G44" s="131">
        <f t="shared" ca="1" si="27"/>
        <v>0.74381981981981993</v>
      </c>
      <c r="H44" s="131">
        <v>72.54613030170529</v>
      </c>
      <c r="I44" s="140" t="str">
        <f t="shared" ca="1" si="28"/>
        <v>C1</v>
      </c>
      <c r="J44" s="130">
        <v>2003.1000000000001</v>
      </c>
      <c r="K44" s="131">
        <f t="shared" ca="1" si="29"/>
        <v>0.36091891891891892</v>
      </c>
      <c r="L44" s="131">
        <v>75.677655677655679</v>
      </c>
      <c r="M44" s="140" t="str">
        <f t="shared" ref="M44:M60" ca="1" si="31">IF(K44&lt;=$U$4,"A",IF(K44&lt;=$U$5,"B",IF(K44&lt;=$U$6,"C",IF(K44&lt;=$U$7,"D",IF(K44&lt;=$U$8,"E","F")))))&amp;IF(L44/E44&gt;=$W$4,1,IF(L44/E44&gt;=$W$5,2,IF(L44/E44&gt;=$W$6,3,IF(L44/E44&gt;=$W$7,4,IF(L44/E44&gt;=$W$8,5,6)))))</f>
        <v>B1</v>
      </c>
      <c r="N44" s="104"/>
      <c r="O44" s="104">
        <v>3</v>
      </c>
      <c r="P44" s="104" t="s">
        <v>302</v>
      </c>
      <c r="Q44" s="104" cm="1">
        <f t="array" aca="1" ref="Q44" ca="1">OFFSET(INDIRECT(ADDRESS(MATCH(O44&amp;P44,$AB$1:$AB$56,0),COLUMN($AB$3))),MATCH($E44,$AC$3:$AC$12,-1),14)</f>
        <v>1850</v>
      </c>
      <c r="R44" s="122" t="s">
        <v>304</v>
      </c>
      <c r="S44" s="122"/>
      <c r="AA44" s="92">
        <v>8</v>
      </c>
      <c r="AB44" s="19"/>
      <c r="AC44" s="20">
        <v>90</v>
      </c>
      <c r="AD44" s="20">
        <v>100</v>
      </c>
      <c r="AE44" s="20">
        <v>1500</v>
      </c>
      <c r="AF44" s="112" t="s">
        <v>211</v>
      </c>
      <c r="AG44" s="19">
        <v>101.32</v>
      </c>
      <c r="AH44" s="19" t="str">
        <f t="shared" si="21"/>
        <v>-(</v>
      </c>
      <c r="AI44" s="18">
        <v>32.720999999999997</v>
      </c>
      <c r="AJ44" s="18" t="s">
        <v>212</v>
      </c>
      <c r="AK44" s="18">
        <v>1812.8</v>
      </c>
      <c r="AL44" s="18" t="str">
        <f t="shared" si="22"/>
        <v>)/</v>
      </c>
      <c r="AM44" s="18">
        <v>567.22</v>
      </c>
      <c r="AN44" s="18" t="s">
        <v>213</v>
      </c>
      <c r="AO44" s="115">
        <f t="shared" si="23"/>
        <v>100.03344737462386</v>
      </c>
      <c r="AP44" s="20">
        <v>1630</v>
      </c>
      <c r="AQ44" s="20">
        <v>85</v>
      </c>
      <c r="AR44" s="19"/>
      <c r="AS44" s="18"/>
      <c r="AU44" s="20">
        <f t="shared" si="24"/>
        <v>3800</v>
      </c>
      <c r="AV44" s="20">
        <f t="shared" si="26"/>
        <v>4890</v>
      </c>
      <c r="AW44" s="20">
        <f t="shared" si="25"/>
        <v>1090</v>
      </c>
    </row>
    <row r="45" spans="1:49">
      <c r="A45" s="174"/>
      <c r="B45" s="154" t="s">
        <v>292</v>
      </c>
      <c r="C45" s="155" t="s">
        <v>40</v>
      </c>
      <c r="D45" s="156">
        <f t="shared" ca="1" si="30"/>
        <v>7400</v>
      </c>
      <c r="E45" s="156">
        <v>100</v>
      </c>
      <c r="F45" s="102">
        <v>4780.6000000000013</v>
      </c>
      <c r="G45" s="157">
        <f t="shared" ca="1" si="27"/>
        <v>0.64602702702702719</v>
      </c>
      <c r="H45" s="157">
        <v>90.513403736799347</v>
      </c>
      <c r="I45" s="158" t="str">
        <f t="shared" ca="1" si="28"/>
        <v>C1</v>
      </c>
      <c r="J45" s="102">
        <v>7904.9000000000005</v>
      </c>
      <c r="K45" s="157">
        <f t="shared" ca="1" si="29"/>
        <v>1.0682297297297298</v>
      </c>
      <c r="L45" s="157">
        <v>46.973459209120058</v>
      </c>
      <c r="M45" s="158" t="str">
        <f t="shared" ca="1" si="31"/>
        <v>F4</v>
      </c>
      <c r="N45" s="105"/>
      <c r="O45" s="104">
        <v>4</v>
      </c>
      <c r="P45" s="104" t="s">
        <v>302</v>
      </c>
      <c r="Q45" s="104" cm="1">
        <f t="array" aca="1" ref="Q45" ca="1">OFFSET(INDIRECT(ADDRESS(MATCH(O45&amp;P45,$AB$1:$AB$56,0),COLUMN($AB$3))),MATCH($E45,$AC$3:$AC$12,-1),14)</f>
        <v>1850</v>
      </c>
      <c r="R45" s="122" t="s">
        <v>305</v>
      </c>
      <c r="S45" s="122"/>
      <c r="AA45" s="92">
        <v>9</v>
      </c>
      <c r="AB45" s="19"/>
      <c r="AC45" s="20"/>
      <c r="AD45" s="20">
        <v>100</v>
      </c>
      <c r="AE45" s="20">
        <v>1630</v>
      </c>
      <c r="AF45" s="112" t="s">
        <v>211</v>
      </c>
      <c r="AG45" s="19">
        <v>92.897999999999996</v>
      </c>
      <c r="AH45" s="19" t="str">
        <f t="shared" si="21"/>
        <v>-(</v>
      </c>
      <c r="AI45" s="18">
        <v>18.885999999999999</v>
      </c>
      <c r="AJ45" s="18" t="s">
        <v>212</v>
      </c>
      <c r="AK45" s="18">
        <v>1759.1</v>
      </c>
      <c r="AL45" s="18" t="str">
        <f t="shared" si="22"/>
        <v>)/</v>
      </c>
      <c r="AM45" s="18">
        <v>177.7</v>
      </c>
      <c r="AN45" s="18" t="s">
        <v>213</v>
      </c>
      <c r="AO45" s="115">
        <f t="shared" si="23"/>
        <v>92.897051755078664</v>
      </c>
      <c r="AP45" s="20">
        <v>1630</v>
      </c>
      <c r="AQ45" s="20">
        <v>85</v>
      </c>
      <c r="AR45" s="19"/>
      <c r="AS45" s="18"/>
      <c r="AU45" s="20">
        <f t="shared" si="24"/>
        <v>3800</v>
      </c>
      <c r="AV45" s="20">
        <f t="shared" si="26"/>
        <v>4890</v>
      </c>
      <c r="AW45" s="20">
        <f t="shared" si="25"/>
        <v>1090</v>
      </c>
    </row>
    <row r="46" spans="1:49">
      <c r="A46" s="174"/>
      <c r="B46" s="149" t="s">
        <v>293</v>
      </c>
      <c r="C46" s="128" t="s">
        <v>41</v>
      </c>
      <c r="D46" s="125">
        <f t="shared" ca="1" si="30"/>
        <v>7400</v>
      </c>
      <c r="E46" s="125">
        <v>100</v>
      </c>
      <c r="F46" s="124">
        <v>6663.2000000000007</v>
      </c>
      <c r="G46" s="126">
        <f t="shared" ca="1" si="27"/>
        <v>0.90043243243243254</v>
      </c>
      <c r="H46" s="126">
        <v>81.461048271467263</v>
      </c>
      <c r="I46" s="127" t="str">
        <f t="shared" ca="1" si="28"/>
        <v>E2</v>
      </c>
      <c r="J46" s="124">
        <v>3436.7000000000003</v>
      </c>
      <c r="K46" s="126">
        <f t="shared" ca="1" si="29"/>
        <v>0.46441891891891895</v>
      </c>
      <c r="L46" s="126">
        <v>86.916957210776545</v>
      </c>
      <c r="M46" s="127" t="str">
        <f t="shared" ca="1" si="31"/>
        <v>B2</v>
      </c>
      <c r="N46" s="105"/>
      <c r="O46" s="104">
        <v>4</v>
      </c>
      <c r="P46" s="104" t="s">
        <v>302</v>
      </c>
      <c r="Q46" s="104" cm="1">
        <f t="array" aca="1" ref="Q46" ca="1">OFFSET(INDIRECT(ADDRESS(MATCH(O46&amp;P46,$AB$1:$AB$56,0),COLUMN($AB$3))),MATCH($E46,$AC$3:$AC$12,-1),14)</f>
        <v>1850</v>
      </c>
      <c r="R46" s="122" t="s">
        <v>306</v>
      </c>
      <c r="S46" s="122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8"/>
      <c r="AU46" s="20"/>
      <c r="AV46" s="20"/>
      <c r="AW46" s="23">
        <f>AVERAGE(AW38:AW45)</f>
        <v>1097.5</v>
      </c>
    </row>
    <row r="47" spans="1:49">
      <c r="A47" s="174"/>
      <c r="B47" s="150" t="s">
        <v>292</v>
      </c>
      <c r="C47" s="136" t="s">
        <v>40</v>
      </c>
      <c r="D47" s="129">
        <f t="shared" ca="1" si="30"/>
        <v>7400</v>
      </c>
      <c r="E47" s="129">
        <v>100</v>
      </c>
      <c r="F47" s="129">
        <v>4039.6999999999994</v>
      </c>
      <c r="G47" s="137">
        <f t="shared" ca="1" si="27"/>
        <v>0.54590540540540533</v>
      </c>
      <c r="H47" s="137">
        <v>91.138511678435634</v>
      </c>
      <c r="I47" s="138" t="str">
        <f t="shared" ca="1" si="28"/>
        <v>C1</v>
      </c>
      <c r="J47" s="129">
        <v>5950.8</v>
      </c>
      <c r="K47" s="137">
        <f t="shared" ca="1" si="29"/>
        <v>0.80416216216216219</v>
      </c>
      <c r="L47" s="137">
        <v>43.590386994168583</v>
      </c>
      <c r="M47" s="138" t="str">
        <f t="shared" ca="1" si="31"/>
        <v>D4</v>
      </c>
      <c r="N47" s="105"/>
      <c r="O47" s="104">
        <v>4</v>
      </c>
      <c r="P47" s="104" t="s">
        <v>302</v>
      </c>
      <c r="Q47" s="104" cm="1">
        <f t="array" aca="1" ref="Q47" ca="1">OFFSET(INDIRECT(ADDRESS(MATCH(O47&amp;P47,$AB$1:$AB$56,0),COLUMN($AB$3))),MATCH($E47,$AC$3:$AC$12,-1),14)</f>
        <v>1850</v>
      </c>
      <c r="R47" s="122" t="s">
        <v>307</v>
      </c>
      <c r="S47" s="122"/>
      <c r="AB47" s="111" t="s">
        <v>217</v>
      </c>
      <c r="AC47" s="111"/>
      <c r="AD47" s="19" t="s">
        <v>233</v>
      </c>
      <c r="AE47" s="19"/>
      <c r="AF47" s="112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8"/>
      <c r="AU47" s="20"/>
      <c r="AV47" s="20"/>
      <c r="AW47" s="20"/>
    </row>
    <row r="48" spans="1:49" ht="17.25" thickBot="1">
      <c r="A48" s="174"/>
      <c r="B48" s="147" t="s">
        <v>293</v>
      </c>
      <c r="C48" s="139" t="s">
        <v>41</v>
      </c>
      <c r="D48" s="130">
        <f t="shared" ca="1" si="30"/>
        <v>7400</v>
      </c>
      <c r="E48" s="130">
        <v>100</v>
      </c>
      <c r="F48" s="130">
        <v>6858.1999999999989</v>
      </c>
      <c r="G48" s="131">
        <f t="shared" ca="1" si="27"/>
        <v>0.92678378378378368</v>
      </c>
      <c r="H48" s="131">
        <v>90.396877956480608</v>
      </c>
      <c r="I48" s="140" t="str">
        <f t="shared" ca="1" si="28"/>
        <v>E1</v>
      </c>
      <c r="J48" s="130">
        <v>3500.2999999999997</v>
      </c>
      <c r="K48" s="131">
        <f t="shared" ca="1" si="29"/>
        <v>0.47301351351351345</v>
      </c>
      <c r="L48" s="131">
        <v>96.270517676767682</v>
      </c>
      <c r="M48" s="140" t="str">
        <f t="shared" ca="1" si="31"/>
        <v>B1</v>
      </c>
      <c r="N48" s="105"/>
      <c r="O48" s="104">
        <v>4</v>
      </c>
      <c r="P48" s="104" t="s">
        <v>302</v>
      </c>
      <c r="Q48" s="104" cm="1">
        <f t="array" aca="1" ref="Q48" ca="1">OFFSET(INDIRECT(ADDRESS(MATCH(O48&amp;P48,$AB$1:$AB$56,0),COLUMN($AB$3))),MATCH($E48,$AC$3:$AC$12,-1),14)</f>
        <v>1850</v>
      </c>
      <c r="R48" s="122" t="s">
        <v>308</v>
      </c>
      <c r="S48" s="122"/>
      <c r="AA48" s="92">
        <v>1</v>
      </c>
      <c r="AB48" s="19"/>
      <c r="AC48" s="20" t="s">
        <v>223</v>
      </c>
      <c r="AD48" s="20" t="s">
        <v>224</v>
      </c>
      <c r="AE48" s="20" t="s">
        <v>225</v>
      </c>
      <c r="AF48" s="162" t="s">
        <v>226</v>
      </c>
      <c r="AG48" s="162"/>
      <c r="AH48" s="162"/>
      <c r="AI48" s="162"/>
      <c r="AJ48" s="162"/>
      <c r="AK48" s="162"/>
      <c r="AL48" s="162"/>
      <c r="AM48" s="162"/>
      <c r="AN48" s="162"/>
      <c r="AO48" s="20" t="s">
        <v>227</v>
      </c>
      <c r="AP48" s="20" t="s">
        <v>228</v>
      </c>
      <c r="AQ48" s="20" t="s">
        <v>229</v>
      </c>
      <c r="AR48" s="19"/>
      <c r="AS48" s="117"/>
      <c r="AU48" s="20" t="s">
        <v>219</v>
      </c>
      <c r="AV48" s="20" t="s">
        <v>217</v>
      </c>
      <c r="AW48" s="20"/>
    </row>
    <row r="49" spans="1:49">
      <c r="A49" s="174"/>
      <c r="B49" s="146" t="s">
        <v>294</v>
      </c>
      <c r="C49" s="136" t="s">
        <v>40</v>
      </c>
      <c r="D49" s="129">
        <f t="shared" ca="1" si="30"/>
        <v>7400</v>
      </c>
      <c r="E49" s="129">
        <v>100</v>
      </c>
      <c r="F49" s="129">
        <v>5510.0000000000009</v>
      </c>
      <c r="G49" s="137">
        <f t="shared" ca="1" si="27"/>
        <v>0.74459459459459476</v>
      </c>
      <c r="H49" s="137">
        <v>87.209661051349713</v>
      </c>
      <c r="I49" s="138" t="str">
        <f t="shared" ca="1" si="28"/>
        <v>C2</v>
      </c>
      <c r="J49" s="129">
        <v>6526.2</v>
      </c>
      <c r="K49" s="137">
        <f t="shared" ca="1" si="29"/>
        <v>0.88191891891891894</v>
      </c>
      <c r="L49" s="137">
        <v>42.366266760762173</v>
      </c>
      <c r="M49" s="138" t="str">
        <f t="shared" ca="1" si="31"/>
        <v>D4</v>
      </c>
      <c r="N49" s="105"/>
      <c r="O49" s="104">
        <v>4</v>
      </c>
      <c r="P49" s="104" t="s">
        <v>302</v>
      </c>
      <c r="Q49" s="104" cm="1">
        <f t="array" aca="1" ref="Q49" ca="1">OFFSET(INDIRECT(ADDRESS(MATCH(O49&amp;P49,$AB$1:$AB$56,0),COLUMN($AB$3))),MATCH($E49,$AC$3:$AC$12,-1),14)</f>
        <v>1850</v>
      </c>
      <c r="R49" s="122" t="s">
        <v>309</v>
      </c>
      <c r="S49" s="122"/>
      <c r="AA49" s="92">
        <v>2</v>
      </c>
      <c r="AB49" s="19"/>
      <c r="AC49" s="20">
        <v>110</v>
      </c>
      <c r="AD49" s="20">
        <v>115</v>
      </c>
      <c r="AE49" s="20">
        <v>1200</v>
      </c>
      <c r="AF49" s="112" t="s">
        <v>211</v>
      </c>
      <c r="AG49" s="19">
        <v>115.95</v>
      </c>
      <c r="AH49" s="19" t="str">
        <f t="shared" ref="AH49:AH56" si="32">"-("</f>
        <v>-(</v>
      </c>
      <c r="AI49" s="18">
        <v>28.103999999999999</v>
      </c>
      <c r="AJ49" s="18" t="s">
        <v>212</v>
      </c>
      <c r="AK49" s="18">
        <v>2056.3000000000002</v>
      </c>
      <c r="AL49" s="18" t="str">
        <f t="shared" ref="AL49:AL56" si="33">")/"</f>
        <v>)/</v>
      </c>
      <c r="AM49" s="18">
        <v>609.89</v>
      </c>
      <c r="AN49" s="18" t="s">
        <v>213</v>
      </c>
      <c r="AO49" s="115">
        <f t="shared" ref="AO49:AO56" si="34">AG49-(AI49/(1+EXP(-(AS49-AK49)/AM49)))</f>
        <v>115.01708234452326</v>
      </c>
      <c r="AP49" s="20">
        <v>1760</v>
      </c>
      <c r="AQ49" s="20">
        <v>100</v>
      </c>
      <c r="AR49" s="19"/>
      <c r="AS49" s="18"/>
      <c r="AU49" s="20">
        <f>AP16*3</f>
        <v>6000</v>
      </c>
      <c r="AV49" s="20">
        <f>AP49*4</f>
        <v>7040</v>
      </c>
      <c r="AW49" s="20">
        <f t="shared" ref="AW49:AW56" si="35">AV49-AU49</f>
        <v>1040</v>
      </c>
    </row>
    <row r="50" spans="1:49" ht="16.5" customHeight="1">
      <c r="A50" s="174"/>
      <c r="B50" s="151" t="s">
        <v>295</v>
      </c>
      <c r="C50" s="139" t="s">
        <v>41</v>
      </c>
      <c r="D50" s="130">
        <f t="shared" ca="1" si="30"/>
        <v>8450</v>
      </c>
      <c r="E50" s="130">
        <v>100</v>
      </c>
      <c r="F50" s="130">
        <v>7853.2999999999993</v>
      </c>
      <c r="G50" s="131">
        <f t="shared" ca="1" si="27"/>
        <v>0.92938461538461525</v>
      </c>
      <c r="H50" s="131">
        <v>55.515572333827691</v>
      </c>
      <c r="I50" s="140" t="str">
        <f t="shared" ca="1" si="28"/>
        <v>E4</v>
      </c>
      <c r="J50" s="130">
        <v>4604.3999999999996</v>
      </c>
      <c r="K50" s="131">
        <f t="shared" ca="1" si="29"/>
        <v>0.54489940828402361</v>
      </c>
      <c r="L50" s="131">
        <v>81.950046040515659</v>
      </c>
      <c r="M50" s="140" t="str">
        <f t="shared" ca="1" si="31"/>
        <v>C2</v>
      </c>
      <c r="N50" s="105">
        <f>$AW$57</f>
        <v>1050</v>
      </c>
      <c r="O50" s="104">
        <v>4</v>
      </c>
      <c r="P50" s="104" t="s">
        <v>302</v>
      </c>
      <c r="Q50" s="104" cm="1">
        <f t="array" aca="1" ref="Q50" ca="1">OFFSET(INDIRECT(ADDRESS(MATCH(O50&amp;P50,$AB$1:$AB$56,0),COLUMN($AB$3))),MATCH($E50,$AC$3:$AC$12,-1),14)</f>
        <v>1850</v>
      </c>
      <c r="R50" s="122" t="s">
        <v>310</v>
      </c>
      <c r="S50" s="122" t="s">
        <v>238</v>
      </c>
      <c r="AA50" s="92">
        <v>3</v>
      </c>
      <c r="AB50" s="19"/>
      <c r="AC50" s="20"/>
      <c r="AD50" s="20">
        <v>115</v>
      </c>
      <c r="AE50" s="20">
        <v>1760</v>
      </c>
      <c r="AF50" s="112" t="s">
        <v>211</v>
      </c>
      <c r="AG50" s="19">
        <v>111.11</v>
      </c>
      <c r="AH50" s="19" t="str">
        <f t="shared" si="32"/>
        <v>-(</v>
      </c>
      <c r="AI50" s="18">
        <v>20.670999999999999</v>
      </c>
      <c r="AJ50" s="18" t="s">
        <v>212</v>
      </c>
      <c r="AK50" s="18">
        <v>1774.2</v>
      </c>
      <c r="AL50" s="18" t="str">
        <f t="shared" si="33"/>
        <v>)/</v>
      </c>
      <c r="AM50" s="18">
        <v>172.06</v>
      </c>
      <c r="AN50" s="18" t="s">
        <v>213</v>
      </c>
      <c r="AO50" s="115">
        <f t="shared" si="34"/>
        <v>111.10931275570557</v>
      </c>
      <c r="AP50" s="20">
        <v>1760</v>
      </c>
      <c r="AQ50" s="20">
        <v>100</v>
      </c>
      <c r="AR50" s="19"/>
      <c r="AS50" s="18"/>
      <c r="AU50" s="20">
        <f t="shared" ref="AU50:AU56" si="36">AP17*3</f>
        <v>6000</v>
      </c>
      <c r="AV50" s="20">
        <f t="shared" ref="AV50:AV55" si="37">AP50*4</f>
        <v>7040</v>
      </c>
      <c r="AW50" s="20">
        <f t="shared" si="35"/>
        <v>1040</v>
      </c>
    </row>
    <row r="51" spans="1:49">
      <c r="A51" s="174"/>
      <c r="B51" s="152" t="s">
        <v>294</v>
      </c>
      <c r="C51" s="103" t="s">
        <v>40</v>
      </c>
      <c r="D51" s="98">
        <f t="shared" ca="1" si="30"/>
        <v>7400</v>
      </c>
      <c r="E51" s="98">
        <v>100</v>
      </c>
      <c r="F51" s="96">
        <v>5312.7999999999984</v>
      </c>
      <c r="G51" s="99">
        <f t="shared" ca="1" si="27"/>
        <v>0.71794594594594574</v>
      </c>
      <c r="H51" s="99">
        <v>70.462900338173867</v>
      </c>
      <c r="I51" s="100" t="str">
        <f t="shared" ca="1" si="28"/>
        <v>C3</v>
      </c>
      <c r="J51" s="96">
        <v>6318.0999999999995</v>
      </c>
      <c r="K51" s="99">
        <f t="shared" ca="1" si="29"/>
        <v>0.85379729729729725</v>
      </c>
      <c r="L51" s="99">
        <v>42.543011633622811</v>
      </c>
      <c r="M51" s="100" t="str">
        <f t="shared" ca="1" si="31"/>
        <v>D4</v>
      </c>
      <c r="N51" s="105"/>
      <c r="O51" s="104">
        <v>4</v>
      </c>
      <c r="P51" s="104" t="s">
        <v>302</v>
      </c>
      <c r="Q51" s="104" cm="1">
        <f t="array" aca="1" ref="Q51" ca="1">OFFSET(INDIRECT(ADDRESS(MATCH(O51&amp;P51,$AB$1:$AB$56,0),COLUMN($AB$3))),MATCH($E51,$AC$3:$AC$12,-1),14)</f>
        <v>1850</v>
      </c>
      <c r="R51" s="122" t="s">
        <v>311</v>
      </c>
      <c r="S51" s="122"/>
      <c r="AA51" s="92">
        <v>4</v>
      </c>
      <c r="AB51" s="19"/>
      <c r="AC51" s="20"/>
      <c r="AD51" s="20">
        <v>110</v>
      </c>
      <c r="AE51" s="20">
        <v>1200</v>
      </c>
      <c r="AF51" s="112" t="s">
        <v>211</v>
      </c>
      <c r="AG51" s="19">
        <v>110.48</v>
      </c>
      <c r="AH51" s="19" t="str">
        <f t="shared" si="32"/>
        <v>-(</v>
      </c>
      <c r="AI51" s="18">
        <v>18.225000000000001</v>
      </c>
      <c r="AJ51" s="18" t="s">
        <v>212</v>
      </c>
      <c r="AK51" s="18">
        <v>1552.2</v>
      </c>
      <c r="AL51" s="18" t="str">
        <f t="shared" si="33"/>
        <v>)/</v>
      </c>
      <c r="AM51" s="18">
        <v>429.93</v>
      </c>
      <c r="AN51" s="18" t="s">
        <v>213</v>
      </c>
      <c r="AO51" s="115">
        <f t="shared" si="34"/>
        <v>110.00013187684324</v>
      </c>
      <c r="AP51" s="20">
        <v>1725</v>
      </c>
      <c r="AQ51" s="20">
        <v>95</v>
      </c>
      <c r="AR51" s="19"/>
      <c r="AS51" s="18"/>
      <c r="AU51" s="20">
        <f t="shared" si="36"/>
        <v>5850</v>
      </c>
      <c r="AV51" s="20">
        <f t="shared" si="37"/>
        <v>6900</v>
      </c>
      <c r="AW51" s="20">
        <f t="shared" si="35"/>
        <v>1050</v>
      </c>
    </row>
    <row r="52" spans="1:49" ht="16.5" customHeight="1" thickBot="1">
      <c r="A52" s="174"/>
      <c r="B52" s="153" t="s">
        <v>295</v>
      </c>
      <c r="C52" s="128" t="s">
        <v>41</v>
      </c>
      <c r="D52" s="125">
        <f t="shared" ca="1" si="30"/>
        <v>8450</v>
      </c>
      <c r="E52" s="125">
        <v>100</v>
      </c>
      <c r="F52" s="124">
        <v>10118.700000000001</v>
      </c>
      <c r="G52" s="126">
        <f t="shared" ca="1" si="27"/>
        <v>1.1974792899408284</v>
      </c>
      <c r="H52" s="126">
        <v>68.238343353373409</v>
      </c>
      <c r="I52" s="127" t="str">
        <f t="shared" ca="1" si="28"/>
        <v>F3</v>
      </c>
      <c r="J52" s="124">
        <v>5271.8</v>
      </c>
      <c r="K52" s="126">
        <f t="shared" ca="1" si="29"/>
        <v>0.62388165680473373</v>
      </c>
      <c r="L52" s="126">
        <v>91.452475017429705</v>
      </c>
      <c r="M52" s="127" t="str">
        <f t="shared" ca="1" si="31"/>
        <v>C1</v>
      </c>
      <c r="N52" s="105">
        <f>$AW$57</f>
        <v>1050</v>
      </c>
      <c r="O52" s="104">
        <v>4</v>
      </c>
      <c r="P52" s="104" t="s">
        <v>302</v>
      </c>
      <c r="Q52" s="104" cm="1">
        <f t="array" aca="1" ref="Q52" ca="1">OFFSET(INDIRECT(ADDRESS(MATCH(O52&amp;P52,$AB$1:$AB$56,0),COLUMN($AB$3))),MATCH($E52,$AC$3:$AC$12,-1),14)</f>
        <v>1850</v>
      </c>
      <c r="R52" s="122" t="s">
        <v>312</v>
      </c>
      <c r="S52" s="122" t="s">
        <v>238</v>
      </c>
      <c r="AA52" s="92">
        <v>5</v>
      </c>
      <c r="AB52" s="19"/>
      <c r="AC52" s="20"/>
      <c r="AD52" s="20">
        <v>110</v>
      </c>
      <c r="AE52" s="20">
        <v>1725</v>
      </c>
      <c r="AF52" s="112" t="s">
        <v>211</v>
      </c>
      <c r="AG52" s="19">
        <v>106.75</v>
      </c>
      <c r="AH52" s="19" t="str">
        <f t="shared" si="32"/>
        <v>-(</v>
      </c>
      <c r="AI52" s="18">
        <v>41.405999999999999</v>
      </c>
      <c r="AJ52" s="18" t="s">
        <v>212</v>
      </c>
      <c r="AK52" s="18">
        <v>1992.9</v>
      </c>
      <c r="AL52" s="18" t="str">
        <f t="shared" si="33"/>
        <v>)/</v>
      </c>
      <c r="AM52" s="18">
        <v>261.38</v>
      </c>
      <c r="AN52" s="18" t="s">
        <v>213</v>
      </c>
      <c r="AO52" s="115">
        <f t="shared" si="34"/>
        <v>106.72979032321831</v>
      </c>
      <c r="AP52" s="20">
        <v>1725</v>
      </c>
      <c r="AQ52" s="20">
        <v>95</v>
      </c>
      <c r="AR52" s="19"/>
      <c r="AS52" s="18"/>
      <c r="AU52" s="20">
        <f t="shared" si="36"/>
        <v>5850</v>
      </c>
      <c r="AV52" s="20">
        <f t="shared" si="37"/>
        <v>6900</v>
      </c>
      <c r="AW52" s="20">
        <f t="shared" si="35"/>
        <v>1050</v>
      </c>
    </row>
    <row r="53" spans="1:49">
      <c r="A53" s="174"/>
      <c r="B53" s="148" t="s">
        <v>296</v>
      </c>
      <c r="C53" s="103" t="s">
        <v>40</v>
      </c>
      <c r="D53" s="98">
        <f t="shared" ca="1" si="30"/>
        <v>6760</v>
      </c>
      <c r="E53" s="98">
        <v>100</v>
      </c>
      <c r="F53" s="96">
        <v>4685.2999999999993</v>
      </c>
      <c r="G53" s="99">
        <f t="shared" ca="1" si="27"/>
        <v>0.69309171597633124</v>
      </c>
      <c r="H53" s="99">
        <v>72.627270582684602</v>
      </c>
      <c r="I53" s="100" t="str">
        <f t="shared" ca="1" si="28"/>
        <v>C3</v>
      </c>
      <c r="J53" s="96">
        <v>5156.8</v>
      </c>
      <c r="K53" s="99">
        <f t="shared" ca="1" si="29"/>
        <v>0.76284023668639056</v>
      </c>
      <c r="L53" s="99">
        <v>54.685111714345375</v>
      </c>
      <c r="M53" s="100" t="str">
        <f t="shared" ca="1" si="31"/>
        <v>C4</v>
      </c>
      <c r="N53" s="105"/>
      <c r="O53" s="104">
        <v>3</v>
      </c>
      <c r="P53" s="104" t="s">
        <v>288</v>
      </c>
      <c r="Q53" s="104" cm="1">
        <f t="array" aca="1" ref="Q53" ca="1">OFFSET(INDIRECT(ADDRESS(MATCH(O53&amp;P53,$AB$1:$AB$56,0),COLUMN($AB$3))),MATCH($E53,$AC$3:$AC$12,-1),14)</f>
        <v>1690</v>
      </c>
      <c r="R53" s="122" t="s">
        <v>313</v>
      </c>
      <c r="S53" s="122" t="s">
        <v>235</v>
      </c>
      <c r="AA53" s="92">
        <v>6</v>
      </c>
      <c r="AB53" s="19"/>
      <c r="AC53" s="20">
        <v>100</v>
      </c>
      <c r="AD53" s="20">
        <v>105</v>
      </c>
      <c r="AE53" s="20">
        <v>1200</v>
      </c>
      <c r="AF53" s="112" t="s">
        <v>211</v>
      </c>
      <c r="AG53" s="19">
        <v>105.34</v>
      </c>
      <c r="AH53" s="19" t="str">
        <f t="shared" si="32"/>
        <v>-(</v>
      </c>
      <c r="AI53" s="18">
        <v>21.742000000000001</v>
      </c>
      <c r="AJ53" s="18" t="s">
        <v>212</v>
      </c>
      <c r="AK53" s="18">
        <v>1495.2</v>
      </c>
      <c r="AL53" s="18" t="str">
        <f t="shared" si="33"/>
        <v>)/</v>
      </c>
      <c r="AM53" s="18">
        <v>358.76</v>
      </c>
      <c r="AN53" s="18" t="s">
        <v>213</v>
      </c>
      <c r="AO53" s="115">
        <f t="shared" si="34"/>
        <v>105.00839544944658</v>
      </c>
      <c r="AP53" s="20">
        <v>1690</v>
      </c>
      <c r="AQ53" s="20">
        <v>90</v>
      </c>
      <c r="AR53" s="19"/>
      <c r="AS53" s="18"/>
      <c r="AU53" s="20">
        <f t="shared" si="36"/>
        <v>5700</v>
      </c>
      <c r="AV53" s="20">
        <f t="shared" si="37"/>
        <v>6760</v>
      </c>
      <c r="AW53" s="20">
        <f t="shared" si="35"/>
        <v>1060</v>
      </c>
    </row>
    <row r="54" spans="1:49">
      <c r="A54" s="174"/>
      <c r="B54" s="149" t="s">
        <v>297</v>
      </c>
      <c r="C54" s="128" t="s">
        <v>41</v>
      </c>
      <c r="D54" s="125">
        <f t="shared" ca="1" si="30"/>
        <v>5700</v>
      </c>
      <c r="E54" s="125">
        <v>100</v>
      </c>
      <c r="F54" s="124">
        <v>7101.0999999999995</v>
      </c>
      <c r="G54" s="126">
        <f t="shared" ca="1" si="27"/>
        <v>1.2458070175438596</v>
      </c>
      <c r="H54" s="126">
        <v>65.225974025974025</v>
      </c>
      <c r="I54" s="127" t="str">
        <f t="shared" ca="1" si="28"/>
        <v>F3</v>
      </c>
      <c r="J54" s="124">
        <v>4459.5</v>
      </c>
      <c r="K54" s="126">
        <f t="shared" ca="1" si="29"/>
        <v>0.7823684210526316</v>
      </c>
      <c r="L54" s="126">
        <v>81.772172310527523</v>
      </c>
      <c r="M54" s="127" t="str">
        <f t="shared" ca="1" si="31"/>
        <v>C2</v>
      </c>
      <c r="N54" s="105"/>
      <c r="O54" s="104">
        <v>3</v>
      </c>
      <c r="P54" s="104" t="s">
        <v>302</v>
      </c>
      <c r="Q54" s="104" cm="1">
        <f t="array" aca="1" ref="Q54" ca="1">OFFSET(INDIRECT(ADDRESS(MATCH(O54&amp;P54,$AB$1:$AB$56,0),COLUMN($AB$3))),MATCH($E54,$AC$3:$AC$12,-1),14)</f>
        <v>1900</v>
      </c>
      <c r="R54" s="122" t="s">
        <v>314</v>
      </c>
      <c r="S54" s="122"/>
      <c r="AA54" s="92">
        <v>7</v>
      </c>
      <c r="AB54" s="19"/>
      <c r="AC54" s="20"/>
      <c r="AD54" s="20">
        <v>105</v>
      </c>
      <c r="AE54" s="20">
        <v>1690</v>
      </c>
      <c r="AF54" s="112" t="s">
        <v>211</v>
      </c>
      <c r="AG54" s="19">
        <v>102.47</v>
      </c>
      <c r="AH54" s="19" t="str">
        <f t="shared" si="32"/>
        <v>-(</v>
      </c>
      <c r="AI54" s="18">
        <v>49.643999999999998</v>
      </c>
      <c r="AJ54" s="18" t="s">
        <v>212</v>
      </c>
      <c r="AK54" s="18">
        <v>2091.5</v>
      </c>
      <c r="AL54" s="18" t="str">
        <f t="shared" si="33"/>
        <v>)/</v>
      </c>
      <c r="AM54" s="18">
        <v>358.01</v>
      </c>
      <c r="AN54" s="18" t="s">
        <v>213</v>
      </c>
      <c r="AO54" s="115">
        <f t="shared" si="34"/>
        <v>102.32630134257919</v>
      </c>
      <c r="AP54" s="20">
        <v>1690</v>
      </c>
      <c r="AQ54" s="20">
        <v>90</v>
      </c>
      <c r="AR54" s="19"/>
      <c r="AS54" s="18"/>
      <c r="AU54" s="20">
        <f t="shared" si="36"/>
        <v>5700</v>
      </c>
      <c r="AV54" s="20">
        <f t="shared" si="37"/>
        <v>6760</v>
      </c>
      <c r="AW54" s="20">
        <f t="shared" si="35"/>
        <v>1060</v>
      </c>
    </row>
    <row r="55" spans="1:49">
      <c r="A55" s="174"/>
      <c r="B55" s="150" t="s">
        <v>296</v>
      </c>
      <c r="C55" s="136" t="s">
        <v>40</v>
      </c>
      <c r="D55" s="129">
        <f t="shared" ca="1" si="30"/>
        <v>6760</v>
      </c>
      <c r="E55" s="129">
        <v>100</v>
      </c>
      <c r="F55" s="129">
        <v>4831.8999999999996</v>
      </c>
      <c r="G55" s="137">
        <f t="shared" ca="1" si="27"/>
        <v>0.71477810650887563</v>
      </c>
      <c r="H55" s="137">
        <v>76.312341990347051</v>
      </c>
      <c r="I55" s="138" t="str">
        <f t="shared" ca="1" si="28"/>
        <v>C3</v>
      </c>
      <c r="J55" s="129">
        <v>5683.7</v>
      </c>
      <c r="K55" s="137">
        <f t="shared" ca="1" si="29"/>
        <v>0.84078402366863902</v>
      </c>
      <c r="L55" s="137">
        <v>56.920196327940374</v>
      </c>
      <c r="M55" s="138" t="str">
        <f t="shared" ca="1" si="31"/>
        <v>D4</v>
      </c>
      <c r="N55" s="105"/>
      <c r="O55" s="104">
        <v>3</v>
      </c>
      <c r="P55" s="104" t="s">
        <v>288</v>
      </c>
      <c r="Q55" s="104" cm="1">
        <f t="array" aca="1" ref="Q55" ca="1">OFFSET(INDIRECT(ADDRESS(MATCH(O55&amp;P55,$AB$1:$AB$56,0),COLUMN($AB$3))),MATCH($E55,$AC$3:$AC$12,-1),14)</f>
        <v>1690</v>
      </c>
      <c r="R55" s="122" t="s">
        <v>315</v>
      </c>
      <c r="S55" s="122" t="s">
        <v>235</v>
      </c>
      <c r="AA55" s="92">
        <v>8</v>
      </c>
      <c r="AB55" s="19"/>
      <c r="AC55" s="20">
        <v>90</v>
      </c>
      <c r="AD55" s="20">
        <v>100</v>
      </c>
      <c r="AE55" s="20">
        <v>1200</v>
      </c>
      <c r="AF55" s="112" t="s">
        <v>211</v>
      </c>
      <c r="AG55" s="19">
        <v>100.26</v>
      </c>
      <c r="AH55" s="19" t="str">
        <f t="shared" si="32"/>
        <v>-(</v>
      </c>
      <c r="AI55" s="18">
        <v>23.419</v>
      </c>
      <c r="AJ55" s="18" t="s">
        <v>212</v>
      </c>
      <c r="AK55" s="18">
        <v>1511.3</v>
      </c>
      <c r="AL55" s="18" t="str">
        <f t="shared" si="33"/>
        <v>)/</v>
      </c>
      <c r="AM55" s="18">
        <v>337.26</v>
      </c>
      <c r="AN55" s="18" t="s">
        <v>213</v>
      </c>
      <c r="AO55" s="115">
        <f t="shared" si="34"/>
        <v>99.997845707811379</v>
      </c>
      <c r="AP55" s="20">
        <v>1650</v>
      </c>
      <c r="AQ55" s="20">
        <v>85</v>
      </c>
      <c r="AR55" s="19"/>
      <c r="AS55" s="18"/>
      <c r="AU55" s="20">
        <f t="shared" si="36"/>
        <v>5550</v>
      </c>
      <c r="AV55" s="20">
        <f t="shared" si="37"/>
        <v>6600</v>
      </c>
      <c r="AW55" s="20">
        <f t="shared" si="35"/>
        <v>1050</v>
      </c>
    </row>
    <row r="56" spans="1:49" ht="16.5" customHeight="1" thickBot="1">
      <c r="A56" s="174"/>
      <c r="B56" s="147" t="s">
        <v>297</v>
      </c>
      <c r="C56" s="139" t="s">
        <v>41</v>
      </c>
      <c r="D56" s="130">
        <f t="shared" ca="1" si="30"/>
        <v>5700</v>
      </c>
      <c r="E56" s="130">
        <v>100</v>
      </c>
      <c r="F56" s="130">
        <v>7398.9</v>
      </c>
      <c r="G56" s="131">
        <f t="shared" ca="1" si="27"/>
        <v>1.2980526315789473</v>
      </c>
      <c r="H56" s="131">
        <v>58.782705428656186</v>
      </c>
      <c r="I56" s="140" t="str">
        <f t="shared" ca="1" si="28"/>
        <v>F4</v>
      </c>
      <c r="J56" s="130">
        <v>4778.8</v>
      </c>
      <c r="K56" s="131">
        <f t="shared" ca="1" si="29"/>
        <v>0.83838596491228068</v>
      </c>
      <c r="L56" s="131">
        <v>79.8254835039818</v>
      </c>
      <c r="M56" s="140" t="str">
        <f t="shared" ca="1" si="31"/>
        <v>D3</v>
      </c>
      <c r="N56" s="105"/>
      <c r="O56" s="104">
        <v>3</v>
      </c>
      <c r="P56" s="104" t="s">
        <v>302</v>
      </c>
      <c r="Q56" s="104" cm="1">
        <f t="array" aca="1" ref="Q56" ca="1">OFFSET(INDIRECT(ADDRESS(MATCH(O56&amp;P56,$AB$1:$AB$56,0),COLUMN($AB$3))),MATCH($E56,$AC$3:$AC$12,-1),14)</f>
        <v>1900</v>
      </c>
      <c r="R56" s="122" t="s">
        <v>316</v>
      </c>
      <c r="S56" s="122"/>
      <c r="AA56" s="92">
        <v>9</v>
      </c>
      <c r="AB56" s="19"/>
      <c r="AC56" s="20"/>
      <c r="AD56" s="20">
        <v>100</v>
      </c>
      <c r="AE56" s="20">
        <v>1650</v>
      </c>
      <c r="AF56" s="112" t="s">
        <v>211</v>
      </c>
      <c r="AG56" s="19">
        <v>99.066000000000003</v>
      </c>
      <c r="AH56" s="19" t="str">
        <f t="shared" si="32"/>
        <v>-(</v>
      </c>
      <c r="AI56" s="18">
        <v>146.83199999999999</v>
      </c>
      <c r="AJ56" s="18" t="s">
        <v>212</v>
      </c>
      <c r="AK56" s="18">
        <v>2677.6</v>
      </c>
      <c r="AL56" s="18" t="str">
        <f t="shared" si="33"/>
        <v>)/</v>
      </c>
      <c r="AM56" s="18">
        <v>456.8</v>
      </c>
      <c r="AN56" s="18" t="s">
        <v>213</v>
      </c>
      <c r="AO56" s="115">
        <f t="shared" si="34"/>
        <v>98.649221206253785</v>
      </c>
      <c r="AP56" s="20">
        <v>1650</v>
      </c>
      <c r="AQ56" s="20">
        <v>85</v>
      </c>
      <c r="AR56" s="19"/>
      <c r="AS56" s="18"/>
      <c r="AU56" s="20">
        <f t="shared" si="36"/>
        <v>5550</v>
      </c>
      <c r="AV56" s="20">
        <f>AP56*4</f>
        <v>6600</v>
      </c>
      <c r="AW56" s="20">
        <f t="shared" si="35"/>
        <v>1050</v>
      </c>
    </row>
    <row r="57" spans="1:49">
      <c r="A57" s="174"/>
      <c r="B57" s="146" t="s">
        <v>298</v>
      </c>
      <c r="C57" s="136" t="s">
        <v>40</v>
      </c>
      <c r="D57" s="129">
        <f t="shared" ca="1" si="30"/>
        <v>6760</v>
      </c>
      <c r="E57" s="129">
        <v>100</v>
      </c>
      <c r="F57" s="129">
        <v>5071.3</v>
      </c>
      <c r="G57" s="137">
        <f t="shared" ca="1" si="27"/>
        <v>0.75019230769230771</v>
      </c>
      <c r="H57" s="137">
        <v>87.51951951951952</v>
      </c>
      <c r="I57" s="138" t="str">
        <f t="shared" ca="1" si="28"/>
        <v>C2</v>
      </c>
      <c r="J57" s="129">
        <v>5276.2999999999993</v>
      </c>
      <c r="K57" s="137">
        <f t="shared" ca="1" si="29"/>
        <v>0.78051775147928981</v>
      </c>
      <c r="L57" s="137">
        <v>83.194165471066469</v>
      </c>
      <c r="M57" s="138" t="str">
        <f t="shared" ca="1" si="31"/>
        <v>C2</v>
      </c>
      <c r="N57" s="105"/>
      <c r="O57" s="104">
        <v>3</v>
      </c>
      <c r="P57" s="104" t="s">
        <v>288</v>
      </c>
      <c r="Q57" s="104" cm="1">
        <f t="array" aca="1" ref="Q57" ca="1">OFFSET(INDIRECT(ADDRESS(MATCH(O57&amp;P57,$AB$1:$AB$56,0),COLUMN($AB$3))),MATCH($E57,$AC$3:$AC$12,-1),14)</f>
        <v>1690</v>
      </c>
      <c r="R57" s="122" t="s">
        <v>317</v>
      </c>
      <c r="S57" s="122" t="s">
        <v>237</v>
      </c>
      <c r="AW57" s="23">
        <f>AVERAGE(AW49:AW56)</f>
        <v>1050</v>
      </c>
    </row>
    <row r="58" spans="1:49" ht="16.5" customHeight="1">
      <c r="A58" s="174"/>
      <c r="B58" s="151" t="s">
        <v>299</v>
      </c>
      <c r="C58" s="139" t="s">
        <v>41</v>
      </c>
      <c r="D58" s="130">
        <f t="shared" ca="1" si="30"/>
        <v>6760</v>
      </c>
      <c r="E58" s="130">
        <v>100</v>
      </c>
      <c r="F58" s="130">
        <v>6736.7</v>
      </c>
      <c r="G58" s="131">
        <f t="shared" ca="1" si="27"/>
        <v>0.9965532544378698</v>
      </c>
      <c r="H58" s="131">
        <v>82.071145499150788</v>
      </c>
      <c r="I58" s="140" t="str">
        <f t="shared" ca="1" si="28"/>
        <v>E2</v>
      </c>
      <c r="J58" s="130">
        <v>4301.2999999999993</v>
      </c>
      <c r="K58" s="131">
        <f t="shared" ca="1" si="29"/>
        <v>0.63628698224852065</v>
      </c>
      <c r="L58" s="131">
        <v>68.478349317058999</v>
      </c>
      <c r="M58" s="140" t="str">
        <f t="shared" ca="1" si="31"/>
        <v>C3</v>
      </c>
      <c r="N58" s="105"/>
      <c r="O58" s="104">
        <v>3</v>
      </c>
      <c r="P58" s="104" t="s">
        <v>288</v>
      </c>
      <c r="Q58" s="104" cm="1">
        <f t="array" aca="1" ref="Q58" ca="1">OFFSET(INDIRECT(ADDRESS(MATCH(O58&amp;P58,$AB$1:$AB$56,0),COLUMN($AB$3))),MATCH($E58,$AC$3:$AC$12,-1),14)</f>
        <v>1690</v>
      </c>
      <c r="R58" s="122" t="s">
        <v>318</v>
      </c>
      <c r="S58" s="122" t="s">
        <v>240</v>
      </c>
    </row>
    <row r="59" spans="1:49">
      <c r="A59" s="174"/>
      <c r="B59" s="152" t="s">
        <v>298</v>
      </c>
      <c r="C59" s="103" t="s">
        <v>40</v>
      </c>
      <c r="D59" s="98">
        <f t="shared" ca="1" si="30"/>
        <v>6760</v>
      </c>
      <c r="E59" s="98">
        <v>100</v>
      </c>
      <c r="F59" s="96">
        <v>4573.2</v>
      </c>
      <c r="G59" s="99">
        <f t="shared" ca="1" si="27"/>
        <v>0.67650887573964491</v>
      </c>
      <c r="H59" s="99">
        <v>98.726476014760152</v>
      </c>
      <c r="I59" s="100" t="str">
        <f t="shared" ca="1" si="28"/>
        <v>C1</v>
      </c>
      <c r="J59" s="96">
        <v>4735</v>
      </c>
      <c r="K59" s="99">
        <f t="shared" ca="1" si="29"/>
        <v>0.70044378698224852</v>
      </c>
      <c r="L59" s="99">
        <v>94.550261096605738</v>
      </c>
      <c r="M59" s="100" t="str">
        <f t="shared" ca="1" si="31"/>
        <v>C1</v>
      </c>
      <c r="N59" s="105"/>
      <c r="O59" s="104">
        <v>3</v>
      </c>
      <c r="P59" s="104" t="s">
        <v>288</v>
      </c>
      <c r="Q59" s="104" cm="1">
        <f t="array" aca="1" ref="Q59" ca="1">OFFSET(INDIRECT(ADDRESS(MATCH(O59&amp;P59,$AB$1:$AB$56,0),COLUMN($AB$3))),MATCH($E59,$AC$3:$AC$12,-1),14)</f>
        <v>1690</v>
      </c>
      <c r="R59" s="122" t="s">
        <v>319</v>
      </c>
      <c r="S59" s="122" t="s">
        <v>237</v>
      </c>
    </row>
    <row r="60" spans="1:49">
      <c r="A60" s="174"/>
      <c r="B60" s="149" t="s">
        <v>299</v>
      </c>
      <c r="C60" s="132" t="s">
        <v>41</v>
      </c>
      <c r="D60" s="133">
        <f t="shared" ca="1" si="30"/>
        <v>6760</v>
      </c>
      <c r="E60" s="133">
        <v>100</v>
      </c>
      <c r="F60" s="133">
        <v>-954</v>
      </c>
      <c r="G60" s="134">
        <f t="shared" ca="1" si="27"/>
        <v>-0.14112426035502959</v>
      </c>
      <c r="H60" s="134">
        <v>-1</v>
      </c>
      <c r="I60" s="135" t="str">
        <f t="shared" ca="1" si="28"/>
        <v>A6</v>
      </c>
      <c r="J60" s="133">
        <v>-948.7</v>
      </c>
      <c r="K60" s="134">
        <f t="shared" ca="1" si="29"/>
        <v>-0.14034023668639053</v>
      </c>
      <c r="L60" s="134">
        <v>-1</v>
      </c>
      <c r="M60" s="135" t="str">
        <f t="shared" ca="1" si="31"/>
        <v>A6</v>
      </c>
      <c r="N60" s="105"/>
      <c r="O60" s="104">
        <v>3</v>
      </c>
      <c r="P60" s="104" t="s">
        <v>288</v>
      </c>
      <c r="Q60" s="104" cm="1">
        <f t="array" aca="1" ref="Q60" ca="1">OFFSET(INDIRECT(ADDRESS(MATCH(O60&amp;P60,$AB$1:$AB$56,0),COLUMN($AB$3))),MATCH($E60,$AC$3:$AC$12,-1),14)</f>
        <v>1690</v>
      </c>
      <c r="R60" s="122" t="s">
        <v>320</v>
      </c>
      <c r="S60" s="122" t="s">
        <v>240</v>
      </c>
    </row>
    <row r="61" spans="1:49">
      <c r="A61" s="174"/>
      <c r="B61" s="152" t="s">
        <v>298</v>
      </c>
      <c r="C61" s="103" t="s">
        <v>40</v>
      </c>
      <c r="D61" s="98">
        <f t="shared" ref="D61:D66" ca="1" si="38">Q61*(O61+IF(P61="Y",1,0))+N61</f>
        <v>6760</v>
      </c>
      <c r="E61" s="98">
        <v>100</v>
      </c>
      <c r="F61" s="96">
        <v>5410.4</v>
      </c>
      <c r="G61" s="99">
        <f t="shared" ref="G61:G66" ca="1" si="39">F61/D61</f>
        <v>0.80035502958579874</v>
      </c>
      <c r="H61" s="99">
        <v>88.828900709219852</v>
      </c>
      <c r="I61" s="100" t="str">
        <f t="shared" ref="I61:I66" ca="1" si="40">IF(G61&lt;=$U$4,"A",IF(G61&lt;=$U$5,"B",IF(G61&lt;=$U$6,"C",IF(G61&lt;=$U$7,"D",IF(G61&lt;=$U$8,"E","F")))))&amp;IF(H61/E61&gt;=$W$4,1,IF(H61/E61&gt;=$W$5,2,IF(H61/E61&gt;=$W$6,3,IF(H61/E61&gt;=$W$7,4,IF(H61/E61&gt;=$W$8,5,6)))))</f>
        <v>D2</v>
      </c>
      <c r="J61" s="96">
        <v>5350.0999999999995</v>
      </c>
      <c r="K61" s="99">
        <f t="shared" ref="K61:K66" ca="1" si="41">J61/D61</f>
        <v>0.79143491124260346</v>
      </c>
      <c r="L61" s="99">
        <v>68.992030004688232</v>
      </c>
      <c r="M61" s="100" t="str">
        <f t="shared" ref="M61:M66" ca="1" si="42">IF(K61&lt;=$U$4,"A",IF(K61&lt;=$U$5,"B",IF(K61&lt;=$U$6,"C",IF(K61&lt;=$U$7,"D",IF(K61&lt;=$U$8,"E","F")))))&amp;IF(L61/E61&gt;=$W$4,1,IF(L61/E61&gt;=$W$5,2,IF(L61/E61&gt;=$W$6,3,IF(L61/E61&gt;=$W$7,4,IF(L61/E61&gt;=$W$8,5,6)))))</f>
        <v>C3</v>
      </c>
      <c r="N61" s="105"/>
      <c r="O61" s="104">
        <v>3</v>
      </c>
      <c r="P61" s="104" t="s">
        <v>288</v>
      </c>
      <c r="Q61" s="104" cm="1">
        <f t="array" aca="1" ref="Q61" ca="1">OFFSET(INDIRECT(ADDRESS(MATCH(O61&amp;P61,$AB$1:$AB$56,0),COLUMN($AB$3))),MATCH($E61,$AC$3:$AC$12,-1),14)</f>
        <v>1690</v>
      </c>
      <c r="R61" s="122" t="s">
        <v>321</v>
      </c>
      <c r="S61" s="122" t="s">
        <v>237</v>
      </c>
    </row>
    <row r="62" spans="1:49" ht="17.25" thickBot="1">
      <c r="A62" s="174"/>
      <c r="B62" s="153" t="s">
        <v>299</v>
      </c>
      <c r="C62" s="128" t="s">
        <v>41</v>
      </c>
      <c r="D62" s="125">
        <f t="shared" ca="1" si="38"/>
        <v>6760</v>
      </c>
      <c r="E62" s="125">
        <v>100</v>
      </c>
      <c r="F62" s="124">
        <v>7694.5000000000009</v>
      </c>
      <c r="G62" s="126">
        <f t="shared" ca="1" si="39"/>
        <v>1.1382396449704144</v>
      </c>
      <c r="H62" s="126">
        <v>75.959978366684695</v>
      </c>
      <c r="I62" s="127" t="str">
        <f t="shared" ca="1" si="40"/>
        <v>F3</v>
      </c>
      <c r="J62" s="124">
        <v>4943.7999999999993</v>
      </c>
      <c r="K62" s="126">
        <f t="shared" ca="1" si="41"/>
        <v>0.73133136094674545</v>
      </c>
      <c r="L62" s="126">
        <v>91.599281682914309</v>
      </c>
      <c r="M62" s="127" t="str">
        <f t="shared" ca="1" si="42"/>
        <v>C1</v>
      </c>
      <c r="N62" s="105"/>
      <c r="O62" s="104">
        <v>3</v>
      </c>
      <c r="P62" s="104" t="s">
        <v>288</v>
      </c>
      <c r="Q62" s="104" cm="1">
        <f t="array" aca="1" ref="Q62" ca="1">OFFSET(INDIRECT(ADDRESS(MATCH(O62&amp;P62,$AB$1:$AB$56,0),COLUMN($AB$3))),MATCH($E62,$AC$3:$AC$12,-1),14)</f>
        <v>1690</v>
      </c>
      <c r="R62" s="122" t="s">
        <v>322</v>
      </c>
      <c r="S62" s="122" t="s">
        <v>240</v>
      </c>
    </row>
    <row r="63" spans="1:49">
      <c r="A63" s="174"/>
      <c r="B63" s="148" t="s">
        <v>300</v>
      </c>
      <c r="C63" s="103" t="s">
        <v>40</v>
      </c>
      <c r="D63" s="98">
        <f t="shared" ca="1" si="38"/>
        <v>6760</v>
      </c>
      <c r="E63" s="98">
        <v>100</v>
      </c>
      <c r="F63" s="96">
        <v>6854</v>
      </c>
      <c r="G63" s="99">
        <f t="shared" ca="1" si="39"/>
        <v>1.0139053254437871</v>
      </c>
      <c r="H63" s="99">
        <v>34.508085928071445</v>
      </c>
      <c r="I63" s="100" t="str">
        <f t="shared" ca="1" si="40"/>
        <v>F5</v>
      </c>
      <c r="J63" s="96">
        <v>3650.9999999999995</v>
      </c>
      <c r="K63" s="99">
        <f t="shared" ca="1" si="41"/>
        <v>0.54008875739644968</v>
      </c>
      <c r="L63" s="99">
        <v>38.745299145299143</v>
      </c>
      <c r="M63" s="100" t="str">
        <f t="shared" ca="1" si="42"/>
        <v>C5</v>
      </c>
      <c r="N63" s="105"/>
      <c r="O63" s="104">
        <v>3</v>
      </c>
      <c r="P63" s="104" t="s">
        <v>288</v>
      </c>
      <c r="Q63" s="104" cm="1">
        <f t="array" aca="1" ref="Q63" ca="1">OFFSET(INDIRECT(ADDRESS(MATCH(O63&amp;P63,$AB$1:$AB$56,0),COLUMN($AB$3))),MATCH($E63,$AC$3:$AC$12,-1),14)</f>
        <v>1690</v>
      </c>
      <c r="R63" s="122" t="s">
        <v>323</v>
      </c>
      <c r="S63" s="122" t="s">
        <v>236</v>
      </c>
    </row>
    <row r="64" spans="1:49">
      <c r="A64" s="174"/>
      <c r="B64" s="151" t="s">
        <v>301</v>
      </c>
      <c r="C64" s="139" t="s">
        <v>41</v>
      </c>
      <c r="D64" s="130">
        <f t="shared" ca="1" si="38"/>
        <v>6760</v>
      </c>
      <c r="E64" s="130">
        <v>100</v>
      </c>
      <c r="F64" s="130">
        <v>5915.5000000000009</v>
      </c>
      <c r="G64" s="131">
        <f t="shared" ca="1" si="39"/>
        <v>0.87507396449704156</v>
      </c>
      <c r="H64" s="131">
        <v>80.945652173913047</v>
      </c>
      <c r="I64" s="140" t="str">
        <f t="shared" ca="1" si="40"/>
        <v>D2</v>
      </c>
      <c r="J64" s="130">
        <v>4947.8999999999996</v>
      </c>
      <c r="K64" s="131">
        <f t="shared" ca="1" si="41"/>
        <v>0.7319378698224851</v>
      </c>
      <c r="L64" s="131">
        <v>83.065780426312173</v>
      </c>
      <c r="M64" s="140" t="str">
        <f t="shared" ca="1" si="42"/>
        <v>C2</v>
      </c>
      <c r="N64" s="105"/>
      <c r="O64" s="104">
        <v>3</v>
      </c>
      <c r="P64" s="104" t="s">
        <v>288</v>
      </c>
      <c r="Q64" s="104" cm="1">
        <f t="array" aca="1" ref="Q64" ca="1">OFFSET(INDIRECT(ADDRESS(MATCH(O64&amp;P64,$AB$1:$AB$56,0),COLUMN($AB$3))),MATCH($E64,$AC$3:$AC$12,-1),14)</f>
        <v>1690</v>
      </c>
      <c r="R64" s="122" t="s">
        <v>324</v>
      </c>
      <c r="S64" s="122" t="s">
        <v>239</v>
      </c>
    </row>
    <row r="65" spans="1:19">
      <c r="A65" s="174"/>
      <c r="B65" s="150" t="s">
        <v>300</v>
      </c>
      <c r="C65" s="136" t="s">
        <v>40</v>
      </c>
      <c r="D65" s="129">
        <f t="shared" ca="1" si="38"/>
        <v>6760</v>
      </c>
      <c r="E65" s="129">
        <v>100</v>
      </c>
      <c r="F65" s="129">
        <v>5426.6999999999989</v>
      </c>
      <c r="G65" s="137">
        <f t="shared" ca="1" si="39"/>
        <v>0.80276627218934893</v>
      </c>
      <c r="H65" s="137">
        <v>55.605400192864032</v>
      </c>
      <c r="I65" s="138" t="str">
        <f t="shared" ca="1" si="40"/>
        <v>D4</v>
      </c>
      <c r="J65" s="129">
        <v>3461.3</v>
      </c>
      <c r="K65" s="137">
        <f t="shared" ca="1" si="41"/>
        <v>0.51202662721893499</v>
      </c>
      <c r="L65" s="137">
        <v>32.386240193120095</v>
      </c>
      <c r="M65" s="138" t="str">
        <f t="shared" ca="1" si="42"/>
        <v>C5</v>
      </c>
      <c r="N65" s="105"/>
      <c r="O65" s="104">
        <v>3</v>
      </c>
      <c r="P65" s="104" t="s">
        <v>288</v>
      </c>
      <c r="Q65" s="104" cm="1">
        <f t="array" aca="1" ref="Q65" ca="1">OFFSET(INDIRECT(ADDRESS(MATCH(O65&amp;P65,$AB$1:$AB$56,0),COLUMN($AB$3))),MATCH($E65,$AC$3:$AC$12,-1),14)</f>
        <v>1690</v>
      </c>
      <c r="R65" s="122" t="s">
        <v>325</v>
      </c>
      <c r="S65" s="122" t="s">
        <v>236</v>
      </c>
    </row>
    <row r="66" spans="1:19" ht="17.25" thickBot="1">
      <c r="A66" s="174"/>
      <c r="B66" s="153" t="s">
        <v>301</v>
      </c>
      <c r="C66" s="128" t="s">
        <v>41</v>
      </c>
      <c r="D66" s="125">
        <f t="shared" ca="1" si="38"/>
        <v>6760</v>
      </c>
      <c r="E66" s="125">
        <v>100</v>
      </c>
      <c r="F66" s="124">
        <v>7544.1</v>
      </c>
      <c r="G66" s="126">
        <f t="shared" ca="1" si="39"/>
        <v>1.1159911242603551</v>
      </c>
      <c r="H66" s="126">
        <v>78.581641110650637</v>
      </c>
      <c r="I66" s="127" t="str">
        <f t="shared" ca="1" si="40"/>
        <v>F3</v>
      </c>
      <c r="J66" s="124">
        <v>4875.8000000000011</v>
      </c>
      <c r="K66" s="126">
        <f t="shared" ca="1" si="41"/>
        <v>0.72127218934911264</v>
      </c>
      <c r="L66" s="126">
        <v>79.96713021491783</v>
      </c>
      <c r="M66" s="127" t="str">
        <f t="shared" ca="1" si="42"/>
        <v>C3</v>
      </c>
      <c r="N66" s="105"/>
      <c r="O66" s="104">
        <v>3</v>
      </c>
      <c r="P66" s="104" t="s">
        <v>288</v>
      </c>
      <c r="Q66" s="104" cm="1">
        <f t="array" aca="1" ref="Q66" ca="1">OFFSET(INDIRECT(ADDRESS(MATCH(O66&amp;P66,$AB$1:$AB$56,0),COLUMN($AB$3))),MATCH($E66,$AC$3:$AC$12,-1),14)</f>
        <v>1690</v>
      </c>
      <c r="R66" s="122" t="s">
        <v>326</v>
      </c>
      <c r="S66" s="122" t="s">
        <v>239</v>
      </c>
    </row>
    <row r="67" spans="1:19">
      <c r="Q67" s="105"/>
    </row>
    <row r="68" spans="1:19">
      <c r="Q68" s="105"/>
    </row>
    <row r="69" spans="1:19">
      <c r="A69" s="173" t="s">
        <v>361</v>
      </c>
      <c r="B69" s="143" t="s">
        <v>290</v>
      </c>
      <c r="C69" s="98" t="s">
        <v>40</v>
      </c>
      <c r="D69" s="98">
        <f ca="1">Q69*(O69+IF(P69="Y",1,0))+N69</f>
        <v>5550</v>
      </c>
      <c r="E69" s="98">
        <v>80</v>
      </c>
      <c r="F69" s="98">
        <v>2408.2999999999997</v>
      </c>
      <c r="G69" s="107">
        <f t="shared" ref="G69:G80" ca="1" si="43">F69/D69</f>
        <v>0.43392792792792789</v>
      </c>
      <c r="H69" s="107">
        <v>72.54613030170529</v>
      </c>
      <c r="I69" s="100" t="str">
        <f t="shared" ref="I69:I80" ca="1" si="44">IF(G69&lt;=$U$4,"A",IF(G69&lt;=$U$5,"B",IF(G69&lt;=$U$6,"C",IF(G69&lt;=$U$7,"D",IF(G69&lt;=$U$8,"E","F")))))&amp;IF(H69/E69&gt;=$W$4,1,IF(H69/E69&gt;=$W$5,2,IF(H69/E69&gt;=$W$6,3,IF(H69/E69&gt;=$W$7,4,IF(H69/E69&gt;=$W$8,5,6)))))</f>
        <v>B1</v>
      </c>
      <c r="J69" s="98">
        <v>4066.5</v>
      </c>
      <c r="K69" s="107">
        <f t="shared" ref="K69:K80" ca="1" si="45">J69/D69</f>
        <v>0.73270270270270266</v>
      </c>
      <c r="L69" s="107">
        <v>68.211153358681869</v>
      </c>
      <c r="M69" s="100" t="str">
        <f ca="1">IF(K69&lt;=$U$4,"A",IF(K69&lt;=$U$5,"B",IF(K69&lt;=$U$6,"C",IF(K69&lt;=$U$7,"D",IF(K69&lt;=$U$8,"E","F")))))&amp;IF(L69/E69&gt;=$W$4,1,IF(L69/E69&gt;=$W$5,2,IF(L69/E69&gt;=$W$6,3,IF(L69/E69&gt;=$W$7,4,IF(L69/E69&gt;=$W$8,5,6)))))</f>
        <v>C2</v>
      </c>
      <c r="N69" s="104"/>
      <c r="O69" s="104">
        <v>3</v>
      </c>
      <c r="P69" s="104" t="s">
        <v>302</v>
      </c>
      <c r="Q69" s="104" cm="1">
        <f t="array" aca="1" ref="Q69" ca="1">OFFSET(INDIRECT(ADDRESS(MATCH(O69&amp;P69,$AB$1:$AB$56,0),COLUMN($AB$3))),MATCH($E69,$AC$3:$AC$12,-1),14)</f>
        <v>1850</v>
      </c>
      <c r="R69" s="122" t="s">
        <v>303</v>
      </c>
    </row>
    <row r="70" spans="1:19">
      <c r="A70" s="173"/>
      <c r="B70" s="144" t="s">
        <v>291</v>
      </c>
      <c r="C70" s="125" t="s">
        <v>41</v>
      </c>
      <c r="D70" s="125">
        <f t="shared" ref="D70:D80" ca="1" si="46">Q70*(O70+IF(P70="Y",1,0))+N70</f>
        <v>5550</v>
      </c>
      <c r="E70" s="125">
        <v>80</v>
      </c>
      <c r="F70" s="125">
        <v>4128.2000000000007</v>
      </c>
      <c r="G70" s="145">
        <f t="shared" ca="1" si="43"/>
        <v>0.74381981981981993</v>
      </c>
      <c r="H70" s="145">
        <v>69.816954238559646</v>
      </c>
      <c r="I70" s="127" t="str">
        <f t="shared" ca="1" si="44"/>
        <v>C2</v>
      </c>
      <c r="J70" s="125">
        <v>2003.1000000000001</v>
      </c>
      <c r="K70" s="145">
        <f t="shared" ca="1" si="45"/>
        <v>0.36091891891891892</v>
      </c>
      <c r="L70" s="145">
        <v>75.677655677655679</v>
      </c>
      <c r="M70" s="127" t="str">
        <f t="shared" ref="M70:M80" ca="1" si="47">IF(K70&lt;=$U$4,"A",IF(K70&lt;=$U$5,"B",IF(K70&lt;=$U$6,"C",IF(K70&lt;=$U$7,"D",IF(K70&lt;=$U$8,"E","F")))))&amp;IF(L70/E70&gt;=$W$4,1,IF(L70/E70&gt;=$W$5,2,IF(L70/E70&gt;=$W$6,3,IF(L70/E70&gt;=$W$7,4,IF(L70/E70&gt;=$W$8,5,6)))))</f>
        <v>B1</v>
      </c>
      <c r="N70" s="104"/>
      <c r="O70" s="104">
        <v>3</v>
      </c>
      <c r="P70" s="104" t="s">
        <v>302</v>
      </c>
      <c r="Q70" s="104" cm="1">
        <f t="array" aca="1" ref="Q70" ca="1">OFFSET(INDIRECT(ADDRESS(MATCH(O70&amp;P70,$AB$1:$AB$56,0),COLUMN($AB$3))),MATCH($E70,$AC$3:$AC$12,-1),14)</f>
        <v>1850</v>
      </c>
      <c r="R70" s="122" t="s">
        <v>304</v>
      </c>
    </row>
    <row r="71" spans="1:19">
      <c r="A71" s="173"/>
      <c r="B71" s="143" t="s">
        <v>292</v>
      </c>
      <c r="C71" s="98" t="s">
        <v>40</v>
      </c>
      <c r="D71" s="98">
        <f t="shared" ca="1" si="46"/>
        <v>7400</v>
      </c>
      <c r="E71" s="98">
        <v>100</v>
      </c>
      <c r="F71" s="98">
        <v>4039.6999999999994</v>
      </c>
      <c r="G71" s="107">
        <f t="shared" ca="1" si="43"/>
        <v>0.54590540540540533</v>
      </c>
      <c r="H71" s="107">
        <v>91.138511678435634</v>
      </c>
      <c r="I71" s="100" t="str">
        <f t="shared" ca="1" si="44"/>
        <v>C1</v>
      </c>
      <c r="J71" s="98">
        <v>5950.8</v>
      </c>
      <c r="K71" s="107">
        <f t="shared" ca="1" si="45"/>
        <v>0.80416216216216219</v>
      </c>
      <c r="L71" s="107">
        <v>43.590386994168583</v>
      </c>
      <c r="M71" s="100" t="str">
        <f t="shared" ca="1" si="47"/>
        <v>D4</v>
      </c>
      <c r="N71" s="105"/>
      <c r="O71" s="104">
        <v>4</v>
      </c>
      <c r="P71" s="104" t="s">
        <v>302</v>
      </c>
      <c r="Q71" s="104" cm="1">
        <f t="array" aca="1" ref="Q71" ca="1">OFFSET(INDIRECT(ADDRESS(MATCH(O71&amp;P71,$AB$1:$AB$56,0),COLUMN($AB$3))),MATCH($E71,$AC$3:$AC$12,-1),14)</f>
        <v>1850</v>
      </c>
      <c r="R71" s="122" t="s">
        <v>307</v>
      </c>
    </row>
    <row r="72" spans="1:19">
      <c r="A72" s="173"/>
      <c r="B72" s="144" t="s">
        <v>293</v>
      </c>
      <c r="C72" s="125" t="s">
        <v>41</v>
      </c>
      <c r="D72" s="125">
        <f t="shared" ca="1" si="46"/>
        <v>7400</v>
      </c>
      <c r="E72" s="125">
        <v>100</v>
      </c>
      <c r="F72" s="125">
        <v>6858.1999999999989</v>
      </c>
      <c r="G72" s="145">
        <f t="shared" ca="1" si="43"/>
        <v>0.92678378378378368</v>
      </c>
      <c r="H72" s="145">
        <v>90.396877956480608</v>
      </c>
      <c r="I72" s="127" t="str">
        <f t="shared" ca="1" si="44"/>
        <v>E1</v>
      </c>
      <c r="J72" s="125">
        <v>3500.2999999999997</v>
      </c>
      <c r="K72" s="145">
        <f t="shared" ca="1" si="45"/>
        <v>0.47301351351351345</v>
      </c>
      <c r="L72" s="145">
        <v>96.270517676767682</v>
      </c>
      <c r="M72" s="127" t="str">
        <f t="shared" ca="1" si="47"/>
        <v>B1</v>
      </c>
      <c r="N72" s="105"/>
      <c r="O72" s="104">
        <v>4</v>
      </c>
      <c r="P72" s="104" t="s">
        <v>302</v>
      </c>
      <c r="Q72" s="104" cm="1">
        <f t="array" aca="1" ref="Q72" ca="1">OFFSET(INDIRECT(ADDRESS(MATCH(O72&amp;P72,$AB$1:$AB$56,0),COLUMN($AB$3))),MATCH($E72,$AC$3:$AC$12,-1),14)</f>
        <v>1850</v>
      </c>
      <c r="R72" s="122" t="s">
        <v>308</v>
      </c>
    </row>
    <row r="73" spans="1:19">
      <c r="A73" s="173"/>
      <c r="B73" s="143" t="s">
        <v>294</v>
      </c>
      <c r="C73" s="98" t="s">
        <v>40</v>
      </c>
      <c r="D73" s="98">
        <f t="shared" ca="1" si="46"/>
        <v>7400</v>
      </c>
      <c r="E73" s="98">
        <v>100</v>
      </c>
      <c r="F73" s="98">
        <v>5510.0000000000009</v>
      </c>
      <c r="G73" s="107">
        <f t="shared" ca="1" si="43"/>
        <v>0.74459459459459476</v>
      </c>
      <c r="H73" s="107">
        <v>87.209661051349713</v>
      </c>
      <c r="I73" s="100" t="str">
        <f t="shared" ca="1" si="44"/>
        <v>C2</v>
      </c>
      <c r="J73" s="98">
        <v>6526.2</v>
      </c>
      <c r="K73" s="107">
        <f t="shared" ca="1" si="45"/>
        <v>0.88191891891891894</v>
      </c>
      <c r="L73" s="107">
        <v>42.366266760762173</v>
      </c>
      <c r="M73" s="100" t="str">
        <f t="shared" ca="1" si="47"/>
        <v>D4</v>
      </c>
      <c r="N73" s="105"/>
      <c r="O73" s="104">
        <v>4</v>
      </c>
      <c r="P73" s="104" t="s">
        <v>302</v>
      </c>
      <c r="Q73" s="104" cm="1">
        <f t="array" aca="1" ref="Q73" ca="1">OFFSET(INDIRECT(ADDRESS(MATCH(O73&amp;P73,$AB$1:$AB$56,0),COLUMN($AB$3))),MATCH($E73,$AC$3:$AC$12,-1),14)</f>
        <v>1850</v>
      </c>
      <c r="R73" s="122" t="s">
        <v>309</v>
      </c>
      <c r="S73" s="122"/>
    </row>
    <row r="74" spans="1:19">
      <c r="A74" s="173"/>
      <c r="B74" s="144" t="s">
        <v>295</v>
      </c>
      <c r="C74" s="125" t="s">
        <v>41</v>
      </c>
      <c r="D74" s="125">
        <f t="shared" ca="1" si="46"/>
        <v>8450</v>
      </c>
      <c r="E74" s="125">
        <v>100</v>
      </c>
      <c r="F74" s="125">
        <v>7853.2999999999993</v>
      </c>
      <c r="G74" s="145">
        <f t="shared" ca="1" si="43"/>
        <v>0.92938461538461525</v>
      </c>
      <c r="H74" s="145">
        <v>55.515572333827691</v>
      </c>
      <c r="I74" s="127" t="str">
        <f t="shared" ca="1" si="44"/>
        <v>E4</v>
      </c>
      <c r="J74" s="125">
        <v>4604.3999999999996</v>
      </c>
      <c r="K74" s="145">
        <f t="shared" ca="1" si="45"/>
        <v>0.54489940828402361</v>
      </c>
      <c r="L74" s="145">
        <v>81.950046040515659</v>
      </c>
      <c r="M74" s="127" t="str">
        <f t="shared" ca="1" si="47"/>
        <v>C2</v>
      </c>
      <c r="N74" s="105">
        <f>$AW$57</f>
        <v>1050</v>
      </c>
      <c r="O74" s="104">
        <v>4</v>
      </c>
      <c r="P74" s="104" t="s">
        <v>302</v>
      </c>
      <c r="Q74" s="104" cm="1">
        <f t="array" aca="1" ref="Q74" ca="1">OFFSET(INDIRECT(ADDRESS(MATCH(O74&amp;P74,$AB$1:$AB$56,0),COLUMN($AB$3))),MATCH($E74,$AC$3:$AC$12,-1),14)</f>
        <v>1850</v>
      </c>
      <c r="R74" s="122" t="s">
        <v>310</v>
      </c>
      <c r="S74" s="122" t="s">
        <v>238</v>
      </c>
    </row>
    <row r="75" spans="1:19">
      <c r="A75" s="173"/>
      <c r="B75" s="143" t="s">
        <v>296</v>
      </c>
      <c r="C75" s="98" t="s">
        <v>40</v>
      </c>
      <c r="D75" s="98">
        <f t="shared" ca="1" si="46"/>
        <v>6760</v>
      </c>
      <c r="E75" s="98">
        <v>100</v>
      </c>
      <c r="F75" s="98">
        <v>4831.8999999999996</v>
      </c>
      <c r="G75" s="107">
        <f t="shared" ca="1" si="43"/>
        <v>0.71477810650887563</v>
      </c>
      <c r="H75" s="107">
        <v>76.312341990347051</v>
      </c>
      <c r="I75" s="100" t="str">
        <f t="shared" ca="1" si="44"/>
        <v>C3</v>
      </c>
      <c r="J75" s="98">
        <v>5683.7</v>
      </c>
      <c r="K75" s="107">
        <f t="shared" ca="1" si="45"/>
        <v>0.84078402366863902</v>
      </c>
      <c r="L75" s="107">
        <v>56.920196327940374</v>
      </c>
      <c r="M75" s="100" t="str">
        <f t="shared" ca="1" si="47"/>
        <v>D4</v>
      </c>
      <c r="N75" s="105"/>
      <c r="O75" s="104">
        <v>3</v>
      </c>
      <c r="P75" s="104" t="s">
        <v>288</v>
      </c>
      <c r="Q75" s="104" cm="1">
        <f t="array" aca="1" ref="Q75" ca="1">OFFSET(INDIRECT(ADDRESS(MATCH(O75&amp;P75,$AB$1:$AB$56,0),COLUMN($AB$3))),MATCH($E75,$AC$3:$AC$12,-1),14)</f>
        <v>1690</v>
      </c>
      <c r="R75" s="122" t="s">
        <v>315</v>
      </c>
      <c r="S75" s="122" t="s">
        <v>235</v>
      </c>
    </row>
    <row r="76" spans="1:19">
      <c r="A76" s="173"/>
      <c r="B76" s="144" t="s">
        <v>297</v>
      </c>
      <c r="C76" s="125" t="s">
        <v>41</v>
      </c>
      <c r="D76" s="125">
        <f t="shared" ca="1" si="46"/>
        <v>5700</v>
      </c>
      <c r="E76" s="125">
        <v>100</v>
      </c>
      <c r="F76" s="125">
        <v>7398.9</v>
      </c>
      <c r="G76" s="145">
        <f t="shared" ca="1" si="43"/>
        <v>1.2980526315789473</v>
      </c>
      <c r="H76" s="145">
        <v>58.782705428656186</v>
      </c>
      <c r="I76" s="127" t="str">
        <f t="shared" ca="1" si="44"/>
        <v>F4</v>
      </c>
      <c r="J76" s="125">
        <v>4778.8</v>
      </c>
      <c r="K76" s="145">
        <f t="shared" ca="1" si="45"/>
        <v>0.83838596491228068</v>
      </c>
      <c r="L76" s="145">
        <v>79.8254835039818</v>
      </c>
      <c r="M76" s="127" t="str">
        <f t="shared" ca="1" si="47"/>
        <v>D3</v>
      </c>
      <c r="N76" s="105"/>
      <c r="O76" s="104">
        <v>3</v>
      </c>
      <c r="P76" s="104" t="s">
        <v>302</v>
      </c>
      <c r="Q76" s="104" cm="1">
        <f t="array" aca="1" ref="Q76" ca="1">OFFSET(INDIRECT(ADDRESS(MATCH(O76&amp;P76,$AB$1:$AB$56,0),COLUMN($AB$3))),MATCH($E76,$AC$3:$AC$12,-1),14)</f>
        <v>1900</v>
      </c>
      <c r="R76" s="122" t="s">
        <v>316</v>
      </c>
      <c r="S76" s="122"/>
    </row>
    <row r="77" spans="1:19">
      <c r="A77" s="173"/>
      <c r="B77" s="143" t="s">
        <v>298</v>
      </c>
      <c r="C77" s="98" t="s">
        <v>40</v>
      </c>
      <c r="D77" s="98">
        <f t="shared" ca="1" si="46"/>
        <v>6760</v>
      </c>
      <c r="E77" s="98">
        <v>100</v>
      </c>
      <c r="F77" s="98">
        <v>5071.3</v>
      </c>
      <c r="G77" s="107">
        <f t="shared" ca="1" si="43"/>
        <v>0.75019230769230771</v>
      </c>
      <c r="H77" s="107">
        <v>87.51951951951952</v>
      </c>
      <c r="I77" s="100" t="str">
        <f t="shared" ca="1" si="44"/>
        <v>C2</v>
      </c>
      <c r="J77" s="98">
        <v>5276.2999999999993</v>
      </c>
      <c r="K77" s="107">
        <f t="shared" ca="1" si="45"/>
        <v>0.78051775147928981</v>
      </c>
      <c r="L77" s="107">
        <v>83.194165471066469</v>
      </c>
      <c r="M77" s="100" t="str">
        <f t="shared" ca="1" si="47"/>
        <v>C2</v>
      </c>
      <c r="N77" s="105"/>
      <c r="O77" s="104">
        <v>3</v>
      </c>
      <c r="P77" s="104" t="s">
        <v>288</v>
      </c>
      <c r="Q77" s="104" cm="1">
        <f t="array" aca="1" ref="Q77" ca="1">OFFSET(INDIRECT(ADDRESS(MATCH(O77&amp;P77,$AB$1:$AB$56,0),COLUMN($AB$3))),MATCH($E77,$AC$3:$AC$12,-1),14)</f>
        <v>1690</v>
      </c>
      <c r="R77" s="122" t="s">
        <v>317</v>
      </c>
      <c r="S77" s="122" t="s">
        <v>237</v>
      </c>
    </row>
    <row r="78" spans="1:19">
      <c r="A78" s="173"/>
      <c r="B78" s="144" t="s">
        <v>299</v>
      </c>
      <c r="C78" s="125" t="s">
        <v>41</v>
      </c>
      <c r="D78" s="125">
        <f t="shared" ca="1" si="46"/>
        <v>6760</v>
      </c>
      <c r="E78" s="125">
        <v>100</v>
      </c>
      <c r="F78" s="125">
        <v>6736.7</v>
      </c>
      <c r="G78" s="145">
        <f t="shared" ca="1" si="43"/>
        <v>0.9965532544378698</v>
      </c>
      <c r="H78" s="145">
        <v>82.071145499150788</v>
      </c>
      <c r="I78" s="127" t="str">
        <f t="shared" ca="1" si="44"/>
        <v>E2</v>
      </c>
      <c r="J78" s="125">
        <v>4301.2999999999993</v>
      </c>
      <c r="K78" s="145">
        <f t="shared" ca="1" si="45"/>
        <v>0.63628698224852065</v>
      </c>
      <c r="L78" s="145">
        <v>68.478349317058999</v>
      </c>
      <c r="M78" s="127" t="str">
        <f t="shared" ca="1" si="47"/>
        <v>C3</v>
      </c>
      <c r="N78" s="105"/>
      <c r="O78" s="104">
        <v>3</v>
      </c>
      <c r="P78" s="104" t="s">
        <v>288</v>
      </c>
      <c r="Q78" s="104" cm="1">
        <f t="array" aca="1" ref="Q78" ca="1">OFFSET(INDIRECT(ADDRESS(MATCH(O78&amp;P78,$AB$1:$AB$56,0),COLUMN($AB$3))),MATCH($E78,$AC$3:$AC$12,-1),14)</f>
        <v>1690</v>
      </c>
      <c r="R78" s="122" t="s">
        <v>318</v>
      </c>
      <c r="S78" s="122" t="s">
        <v>240</v>
      </c>
    </row>
    <row r="79" spans="1:19">
      <c r="A79" s="173"/>
      <c r="B79" s="143" t="s">
        <v>300</v>
      </c>
      <c r="C79" s="98" t="s">
        <v>40</v>
      </c>
      <c r="D79" s="98">
        <f t="shared" ca="1" si="46"/>
        <v>6760</v>
      </c>
      <c r="E79" s="98">
        <v>100</v>
      </c>
      <c r="F79" s="98">
        <v>5426.6999999999989</v>
      </c>
      <c r="G79" s="107">
        <f t="shared" ca="1" si="43"/>
        <v>0.80276627218934893</v>
      </c>
      <c r="H79" s="107">
        <v>55.605400192864032</v>
      </c>
      <c r="I79" s="100" t="str">
        <f t="shared" ca="1" si="44"/>
        <v>D4</v>
      </c>
      <c r="J79" s="98">
        <v>3461.3</v>
      </c>
      <c r="K79" s="107">
        <f t="shared" ca="1" si="45"/>
        <v>0.51202662721893499</v>
      </c>
      <c r="L79" s="107">
        <v>32.386240193120095</v>
      </c>
      <c r="M79" s="100" t="str">
        <f t="shared" ca="1" si="47"/>
        <v>C5</v>
      </c>
      <c r="N79" s="105"/>
      <c r="O79" s="104">
        <v>3</v>
      </c>
      <c r="P79" s="104" t="s">
        <v>288</v>
      </c>
      <c r="Q79" s="104" cm="1">
        <f t="array" aca="1" ref="Q79" ca="1">OFFSET(INDIRECT(ADDRESS(MATCH(O79&amp;P79,$AB$1:$AB$56,0),COLUMN($AB$3))),MATCH($E79,$AC$3:$AC$12,-1),14)</f>
        <v>1690</v>
      </c>
      <c r="R79" s="122" t="s">
        <v>325</v>
      </c>
      <c r="S79" s="122" t="s">
        <v>236</v>
      </c>
    </row>
    <row r="80" spans="1:19">
      <c r="A80" s="173"/>
      <c r="B80" s="144" t="s">
        <v>301</v>
      </c>
      <c r="C80" s="125" t="s">
        <v>41</v>
      </c>
      <c r="D80" s="125">
        <f t="shared" ca="1" si="46"/>
        <v>6760</v>
      </c>
      <c r="E80" s="125">
        <v>100</v>
      </c>
      <c r="F80" s="125">
        <v>5915.5000000000009</v>
      </c>
      <c r="G80" s="145">
        <f t="shared" ca="1" si="43"/>
        <v>0.87507396449704156</v>
      </c>
      <c r="H80" s="145">
        <v>80.945652173913047</v>
      </c>
      <c r="I80" s="127" t="str">
        <f t="shared" ca="1" si="44"/>
        <v>D2</v>
      </c>
      <c r="J80" s="125">
        <v>4947.8999999999996</v>
      </c>
      <c r="K80" s="145">
        <f t="shared" ca="1" si="45"/>
        <v>0.7319378698224851</v>
      </c>
      <c r="L80" s="145">
        <v>83.065780426312173</v>
      </c>
      <c r="M80" s="127" t="str">
        <f t="shared" ca="1" si="47"/>
        <v>C2</v>
      </c>
      <c r="N80" s="105"/>
      <c r="O80" s="104">
        <v>3</v>
      </c>
      <c r="P80" s="104" t="s">
        <v>288</v>
      </c>
      <c r="Q80" s="104" cm="1">
        <f t="array" aca="1" ref="Q80" ca="1">OFFSET(INDIRECT(ADDRESS(MATCH(O80&amp;P80,$AB$1:$AB$56,0),COLUMN($AB$3))),MATCH($E80,$AC$3:$AC$12,-1),14)</f>
        <v>1690</v>
      </c>
      <c r="R80" s="122" t="s">
        <v>324</v>
      </c>
      <c r="S80" s="122" t="s">
        <v>239</v>
      </c>
    </row>
    <row r="81" spans="16:17">
      <c r="P81" s="105"/>
      <c r="Q81" s="105"/>
    </row>
    <row r="82" spans="16:17">
      <c r="P82" s="105"/>
      <c r="Q82" s="105"/>
    </row>
    <row r="83" spans="16:17">
      <c r="P83" s="105"/>
      <c r="Q83" s="105"/>
    </row>
    <row r="84" spans="16:17">
      <c r="P84" s="105"/>
      <c r="Q84" s="105"/>
    </row>
    <row r="85" spans="16:17">
      <c r="P85" s="105"/>
      <c r="Q85" s="105"/>
    </row>
    <row r="86" spans="16:17">
      <c r="P86" s="105"/>
      <c r="Q86" s="105"/>
    </row>
    <row r="87" spans="16:17">
      <c r="P87" s="105"/>
      <c r="Q87" s="105"/>
    </row>
    <row r="88" spans="16:17">
      <c r="P88" s="105"/>
      <c r="Q88" s="105"/>
    </row>
    <row r="89" spans="16:17">
      <c r="P89" s="105"/>
      <c r="Q89" s="105"/>
    </row>
    <row r="90" spans="16:17">
      <c r="P90" s="105"/>
      <c r="Q90" s="105"/>
    </row>
    <row r="91" spans="16:17">
      <c r="P91" s="105"/>
      <c r="Q91" s="105"/>
    </row>
    <row r="92" spans="16:17">
      <c r="P92" s="105"/>
      <c r="Q92" s="105"/>
    </row>
    <row r="93" spans="16:17">
      <c r="P93" s="105"/>
      <c r="Q93" s="105"/>
    </row>
    <row r="94" spans="16:17">
      <c r="P94" s="105"/>
      <c r="Q94" s="105"/>
    </row>
    <row r="95" spans="16:17">
      <c r="P95" s="105"/>
      <c r="Q95" s="105"/>
    </row>
    <row r="96" spans="16:17">
      <c r="P96" s="105"/>
      <c r="Q96" s="105"/>
    </row>
    <row r="97" spans="1:17">
      <c r="P97" s="105"/>
      <c r="Q97" s="105"/>
    </row>
    <row r="98" spans="1:17">
      <c r="P98" s="105"/>
      <c r="Q98" s="105"/>
    </row>
    <row r="99" spans="1:17">
      <c r="P99" s="105"/>
      <c r="Q99" s="105"/>
    </row>
    <row r="100" spans="1:17">
      <c r="P100" s="105"/>
      <c r="Q100" s="105"/>
    </row>
    <row r="101" spans="1:17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</row>
    <row r="102" spans="1:17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</row>
  </sheetData>
  <mergeCells count="16">
    <mergeCell ref="A69:A80"/>
    <mergeCell ref="A43:A66"/>
    <mergeCell ref="AF37:AN37"/>
    <mergeCell ref="AF48:AN48"/>
    <mergeCell ref="A3:A20"/>
    <mergeCell ref="A23:A40"/>
    <mergeCell ref="AF26:AN26"/>
    <mergeCell ref="AF15:AN15"/>
    <mergeCell ref="J1:M1"/>
    <mergeCell ref="AF4:AN4"/>
    <mergeCell ref="A1:A2"/>
    <mergeCell ref="B1:B2"/>
    <mergeCell ref="C1:C2"/>
    <mergeCell ref="D1:D2"/>
    <mergeCell ref="E1:E2"/>
    <mergeCell ref="F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運輸需求預測-零方案 (備份)</vt:lpstr>
      <vt:lpstr>高速公路(偵測器)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凱惇 張</dc:creator>
  <cp:lastModifiedBy>凱惇 張</cp:lastModifiedBy>
  <cp:lastPrinted>2025-10-08T06:47:11Z</cp:lastPrinted>
  <dcterms:created xsi:type="dcterms:W3CDTF">2024-12-02T07:02:43Z</dcterms:created>
  <dcterms:modified xsi:type="dcterms:W3CDTF">2026-07-20T07:28:14Z</dcterms:modified>
</cp:coreProperties>
</file>