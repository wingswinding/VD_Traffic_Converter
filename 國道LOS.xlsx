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15" windowWidth="29040" windowHeight="15840" tabRatio="753" firstSheet="1" autoFilterDateGrouping="1"/>
  </bookViews>
  <sheets>
    <sheet xmlns:r="http://schemas.openxmlformats.org/officeDocument/2006/relationships" name="高速公路(偵測器)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</externalReferences>
  <definedNames>
    <definedName name="_PCU11">[1]基本!$B$35</definedName>
    <definedName name="_PCU12">[1]基本!$C$35</definedName>
    <definedName name="_PCU13">[1]基本!$D$35</definedName>
    <definedName name="_PCU14">[1]基本!$E$35</definedName>
    <definedName name="_PCU21">[1]基本!$F$35</definedName>
    <definedName name="_PCU22">[1]基本!$G$35</definedName>
    <definedName name="_PCU23">[1]基本!$H$35</definedName>
    <definedName name="_PCU31">[1]基本!$I$35</definedName>
    <definedName name="_PCU32">[1]基本!$J$35</definedName>
    <definedName name="_PCU33">[1]基本!$K$35</definedName>
    <definedName name="CHECK">[2]基本!#REF!</definedName>
    <definedName name="FLOW">#REF!</definedName>
    <definedName name="G_AM">#REF!</definedName>
    <definedName name="G_INFO">#REF!</definedName>
    <definedName name="G_PM">#REF!</definedName>
    <definedName name="GAM">#REF!</definedName>
    <definedName name="GINFO">#REF!</definedName>
    <definedName name="GPM">#REF!</definedName>
    <definedName name="ROADNAME">[3]基本!$I$5,[3]基本!$G$9,[3]基本!$E$5,[3]基本!$G$1</definedName>
    <definedName name="WEEKDAY">[3]基本!$C$6</definedName>
    <definedName name="十">[4]基本!$C$6</definedName>
    <definedName name="五">[5]計算!$Y$3</definedName>
    <definedName name="哈">[5]表!$A$1:$AD$43</definedName>
    <definedName name="時制A">[6]基本時制!$G$9:$I$10,[6]基本時制!$K$9:$M$10,[6]基本時制!#REF!,[6]基本時制!#REF!,[6]基本時制!#REF!</definedName>
    <definedName name="時制B">[6]基本時制!$G$7:$I$10,[6]基本時制!$K$7:$M$10,[6]基本時制!#REF!,[6]基本時制!#REF!,[6]基本時制!#REF!</definedName>
    <definedName name="假日">#REF!</definedName>
    <definedName name="基本">[6]基本!$B$1,[6]基本!$B$2,[6]基本!$B$3,[6]基本!$B$4,[6]基本!$B$7,[6]基本!$B$8,[6]基本!$B$11,[6]基本!$B$12,[6]基本!$B$17,[6]基本!$B$18,[6]基本!$C$17,[6]基本!$C$18,[6]基本!$D$17,[6]基本!$D$18,[6]基本!$E$17,[6]基本!$E$18,[6]基本!$B$22,[6]基本!$B$23,[6]基本!$B$25,[6]基本!$B$24,[6]基本!$B$26,[6]基本!$A$35:$B$38,[6]基本!$A$34,[6]基本!$B$34,[6]基本!$E$34:$F$38,[6]基本!$I$34:$J$38,[6]基本!$A$43:$B$47,[6]基本!$E$43:$F$47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_);[Red]\(0\)"/>
    <numFmt numFmtId="165" formatCode="0_ "/>
    <numFmt numFmtId="166" formatCode="#,##0_ "/>
    <numFmt numFmtId="167" formatCode="#,##0.00_ "/>
    <numFmt numFmtId="168" formatCode="0.0000"/>
    <numFmt numFmtId="169" formatCode="0.0"/>
    <numFmt numFmtId="170" formatCode="#,##0.0_ "/>
  </numFmts>
  <fonts count="5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sz val="12"/>
      <scheme val="minor"/>
    </font>
    <font>
      <name val="Times New Roman"/>
      <family val="1"/>
      <sz val="12"/>
    </font>
    <font>
      <name val="新細明體"/>
      <charset val="136"/>
      <family val="1"/>
      <color theme="1"/>
      <sz val="10"/>
    </font>
    <font>
      <name val="Times New Roman"/>
      <family val="1"/>
      <color theme="1"/>
      <sz val="10"/>
    </font>
    <font>
      <name val="Times New Roman"/>
      <family val="1"/>
      <color theme="1"/>
      <sz val="12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1"/>
      <color rgb="FF002060"/>
      <sz val="12"/>
    </font>
    <font>
      <name val="細明體"/>
      <charset val="136"/>
      <family val="3"/>
      <color rgb="FF002060"/>
      <sz val="12"/>
    </font>
    <font>
      <name val="新細明體"/>
      <charset val="136"/>
      <family val="2"/>
      <color rgb="FF002060"/>
      <sz val="12"/>
      <scheme val="minor"/>
    </font>
    <font>
      <name val="Microsoft JhengHei"/>
      <family val="1"/>
      <color theme="1"/>
      <sz val="12"/>
    </font>
    <font>
      <name val="Times New Roman"/>
      <family val="1"/>
      <color rgb="FFC00000"/>
      <sz val="12"/>
    </font>
    <font>
      <name val="Times New Roman"/>
      <family val="1"/>
      <b val="1"/>
      <color rgb="FFC00000"/>
      <sz val="12"/>
    </font>
    <font>
      <name val="新細明體"/>
      <charset val="136"/>
      <family val="2"/>
      <b val="1"/>
      <color rgb="FFC00000"/>
      <sz val="12"/>
      <scheme val="minor"/>
    </font>
    <font>
      <name val="Times New Roman"/>
      <family val="1"/>
      <color theme="5" tint="-0.249977111117893"/>
      <sz val="12"/>
    </font>
    <font>
      <name val="Times New Roman"/>
      <family val="1"/>
      <b val="1"/>
      <color theme="5" tint="-0.249977111117893"/>
      <sz val="12"/>
    </font>
    <font>
      <name val="Times New Roman"/>
      <family val="1"/>
      <i val="1"/>
      <color theme="3" tint="0.249977111117893"/>
      <sz val="12"/>
    </font>
    <font>
      <name val="Times New Roman"/>
      <family val="1"/>
      <color rgb="FF002060"/>
      <sz val="12"/>
    </font>
    <font>
      <name val="新細明體"/>
      <charset val="136"/>
      <family val="1"/>
      <sz val="9"/>
    </font>
    <font>
      <name val="新細明體"/>
      <charset val="136"/>
      <family val="1"/>
      <color rgb="FFFF0000"/>
      <sz val="12"/>
      <scheme val="minor"/>
    </font>
    <font>
      <name val="新細明體"/>
      <charset val="136"/>
      <family val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b val="1"/>
      <sz val="10"/>
    </font>
    <font>
      <name val="新細明體"/>
      <charset val="136"/>
      <family val="1"/>
      <b val="1"/>
      <color rgb="FFFF0000"/>
      <sz val="10"/>
    </font>
    <font>
      <name val="jf open 粉圓 1.1"/>
      <charset val="136"/>
      <family val="2"/>
      <color theme="1"/>
      <sz val="12"/>
    </font>
    <font>
      <name val="新細明體"/>
      <charset val="136"/>
      <family val="1"/>
      <color rgb="FF002060"/>
      <sz val="10"/>
    </font>
    <font>
      <name val="細明體"/>
      <charset val="136"/>
      <family val="3"/>
      <color rgb="FF002060"/>
      <sz val="10"/>
    </font>
    <font>
      <name val="新細明體"/>
      <charset val="136"/>
      <family val="2"/>
      <color theme="1"/>
      <sz val="10"/>
      <scheme val="minor"/>
    </font>
    <font>
      <name val="Times New Roman"/>
      <family val="1"/>
      <color rgb="FF002060"/>
      <sz val="10"/>
    </font>
    <font>
      <name val="新細明體"/>
      <charset val="136"/>
      <family val="2"/>
      <color rgb="FF002060"/>
      <sz val="10"/>
      <scheme val="minor"/>
    </font>
    <font>
      <name val="新細明體"/>
      <charset val="136"/>
      <family val="1"/>
      <color rgb="FFC00000"/>
      <sz val="10"/>
    </font>
    <font>
      <name val="細明體"/>
      <charset val="136"/>
      <family val="3"/>
      <color rgb="FFC00000"/>
      <sz val="10"/>
    </font>
    <font>
      <name val="Times New Roman"/>
      <family val="1"/>
      <color rgb="FFC00000"/>
      <sz val="10"/>
    </font>
    <font>
      <name val="新細明體"/>
      <charset val="136"/>
      <family val="2"/>
      <color rgb="FFC00000"/>
      <sz val="10"/>
      <scheme val="minor"/>
    </font>
    <font>
      <name val="細明體"/>
      <charset val="136"/>
      <family val="3"/>
      <color rgb="FF7030A0"/>
      <sz val="10"/>
    </font>
    <font>
      <name val="新細明體"/>
      <charset val="136"/>
      <family val="2"/>
      <color rgb="FF7030A0"/>
      <sz val="10"/>
      <scheme val="minor"/>
    </font>
    <font>
      <name val="新細明體"/>
      <charset val="136"/>
      <family val="2"/>
      <color rgb="FF7030A0"/>
      <sz val="12"/>
      <scheme val="minor"/>
    </font>
    <font>
      <name val="新細明體"/>
      <charset val="136"/>
      <family val="1"/>
      <color rgb="FF7030A0"/>
      <sz val="10"/>
    </font>
    <font>
      <name val="新細明體"/>
      <charset val="136"/>
      <family val="1"/>
      <color rgb="FF7030A0"/>
      <sz val="12"/>
      <scheme val="minor"/>
    </font>
    <font>
      <name val="新細明體"/>
      <charset val="136"/>
      <family val="2"/>
      <color theme="1"/>
      <sz val="12"/>
    </font>
    <font>
      <name val="Microsoft JhengHei"/>
      <family val="1"/>
      <color theme="1"/>
      <sz val="10"/>
    </font>
    <font>
      <name val="Times New Roman"/>
      <family val="1"/>
      <color rgb="FFFF0000"/>
      <sz val="12"/>
    </font>
    <font>
      <name val="Courier New"/>
      <family val="3"/>
      <sz val="9"/>
    </font>
    <font>
      <name val="Times New Roman"/>
      <family val="1"/>
      <color rgb="FFFF0000"/>
      <sz val="10"/>
    </font>
    <font>
      <name val="Times New Roman"/>
      <charset val="136"/>
      <family val="2"/>
      <color theme="1"/>
      <sz val="10"/>
    </font>
    <font>
      <name val="Times New Roman"/>
      <family val="1"/>
      <sz val="10"/>
    </font>
    <font>
      <name val="細明體"/>
      <charset val="136"/>
      <family val="1"/>
      <color theme="1"/>
      <sz val="10"/>
    </font>
    <font>
      <name val="Times New Roman"/>
      <charset val="136"/>
      <family val="1"/>
      <color theme="1"/>
      <sz val="10"/>
    </font>
    <font>
      <name val="Times New Roman"/>
      <family val="1"/>
      <sz val="9"/>
    </font>
    <font>
      <name val="新細明體"/>
      <charset val="136"/>
      <family val="3"/>
      <sz val="9"/>
      <scheme val="minor"/>
    </font>
    <font>
      <name val="新細明體"/>
      <charset val="136"/>
      <family val="1"/>
      <color theme="1"/>
      <sz val="10"/>
      <scheme val="major"/>
    </font>
    <font>
      <name val="新細明體"/>
      <charset val="136"/>
      <family val="1"/>
      <color rgb="FF000000"/>
      <sz val="10"/>
      <scheme val="major"/>
    </font>
    <font>
      <name val="Times New Roman"/>
      <family val="1"/>
      <color theme="0" tint="-0.3499862666707358"/>
      <sz val="10"/>
    </font>
    <font>
      <name val="新細明體"/>
      <charset val="136"/>
      <family val="1"/>
      <color rgb="FFFF0000"/>
      <sz val="10"/>
      <scheme val="major"/>
    </font>
    <font>
      <name val="新細明體"/>
      <charset val="136"/>
      <family val="1"/>
      <sz val="10"/>
      <scheme val="major"/>
    </font>
  </fonts>
  <fills count="5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43" fillId="0" borderId="0"/>
  </cellStyleXfs>
  <cellXfs count="24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6" fillId="0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4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3" fontId="12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 wrapText="1"/>
    </xf>
    <xf numFmtId="1" fontId="6" fillId="0" borderId="0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 wrapText="1"/>
    </xf>
    <xf numFmtId="0" fontId="22" fillId="2" borderId="9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65" fontId="0" fillId="0" borderId="0" applyAlignment="1" pivotButton="0" quotePrefix="0" xfId="0">
      <alignment vertical="center" wrapText="1"/>
    </xf>
    <xf numFmtId="0" fontId="22" fillId="2" borderId="8" applyAlignment="1" pivotButton="0" quotePrefix="0" xfId="0">
      <alignment horizontal="center" vertical="center" wrapText="1"/>
    </xf>
    <xf numFmtId="165" fontId="0" fillId="4" borderId="0" applyAlignment="1" pivotButton="0" quotePrefix="0" xfId="0">
      <alignment vertical="center" wrapText="1"/>
    </xf>
    <xf numFmtId="0" fontId="23" fillId="0" borderId="4" applyAlignment="1" pivotButton="0" quotePrefix="0" xfId="0">
      <alignment horizontal="center" vertical="center" wrapText="1"/>
    </xf>
    <xf numFmtId="10" fontId="24" fillId="2" borderId="11" applyAlignment="1" pivotButton="0" quotePrefix="0" xfId="0">
      <alignment horizontal="center" vertical="center" wrapText="1"/>
    </xf>
    <xf numFmtId="0" fontId="23" fillId="0" borderId="3" applyAlignment="1" pivotButton="0" quotePrefix="0" xfId="0">
      <alignment horizontal="center" vertical="center" wrapText="1"/>
    </xf>
    <xf numFmtId="165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 wrapText="1"/>
    </xf>
    <xf numFmtId="1" fontId="25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right" vertical="center"/>
    </xf>
    <xf numFmtId="1" fontId="25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" fontId="0" fillId="0" borderId="0" applyAlignment="1" pivotButton="0" quotePrefix="0" xfId="0">
      <alignment horizontal="right" vertical="center"/>
    </xf>
    <xf numFmtId="164" fontId="26" fillId="0" borderId="0" applyAlignment="1" pivotButton="0" quotePrefix="0" xfId="0">
      <alignment vertical="center"/>
    </xf>
    <xf numFmtId="164" fontId="26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right" vertical="center"/>
    </xf>
    <xf numFmtId="164" fontId="3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1" fontId="0" fillId="0" borderId="0" applyAlignment="1" pivotButton="0" quotePrefix="0" xfId="0">
      <alignment horizontal="left" vertical="center"/>
    </xf>
    <xf numFmtId="1" fontId="28" fillId="0" borderId="0" applyAlignment="1" pivotButton="0" quotePrefix="0" xfId="0">
      <alignment vertical="center"/>
    </xf>
    <xf numFmtId="165" fontId="2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vertical="center"/>
    </xf>
    <xf numFmtId="164" fontId="26" fillId="0" borderId="0" applyAlignment="1" pivotButton="0" quotePrefix="0" xfId="0">
      <alignment vertical="center" wrapText="1"/>
    </xf>
    <xf numFmtId="164" fontId="26" fillId="0" borderId="0" applyAlignment="1" pivotButton="0" quotePrefix="0" xfId="0">
      <alignment horizontal="center" vertical="center" wrapText="1"/>
    </xf>
    <xf numFmtId="164" fontId="27" fillId="0" borderId="0" applyAlignment="1" pivotButton="0" quotePrefix="0" xfId="0">
      <alignment horizontal="center" vertical="center" wrapText="1"/>
    </xf>
    <xf numFmtId="165" fontId="0" fillId="4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165" fontId="2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left" vertical="center"/>
    </xf>
    <xf numFmtId="164" fontId="31" fillId="0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34" fillId="0" borderId="0" applyAlignment="1" pivotButton="0" quotePrefix="0" xfId="0">
      <alignment horizontal="center" vertical="center"/>
    </xf>
    <xf numFmtId="164" fontId="34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vertical="center"/>
    </xf>
    <xf numFmtId="0" fontId="2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" fontId="34" fillId="0" borderId="0" applyAlignment="1" pivotButton="0" quotePrefix="0" xfId="0">
      <alignment vertical="center"/>
    </xf>
    <xf numFmtId="164" fontId="30" fillId="0" borderId="0" applyAlignment="1" pivotButton="0" quotePrefix="0" xfId="0">
      <alignment horizontal="left" vertical="center"/>
    </xf>
    <xf numFmtId="164" fontId="31" fillId="0" borderId="0" applyAlignment="1" pivotButton="0" quotePrefix="0" xfId="0">
      <alignment horizontal="left" vertical="center"/>
    </xf>
    <xf numFmtId="164" fontId="32" fillId="0" borderId="0" applyAlignment="1" pivotButton="0" quotePrefix="0" xfId="0">
      <alignment horizontal="left" vertical="center"/>
    </xf>
    <xf numFmtId="164" fontId="33" fillId="0" borderId="0" applyAlignment="1" pivotButton="0" quotePrefix="0" xfId="0">
      <alignment horizontal="left" vertical="center"/>
    </xf>
    <xf numFmtId="164" fontId="34" fillId="0" borderId="0" applyAlignment="1" pivotButton="0" quotePrefix="0" xfId="0">
      <alignment horizontal="left" vertical="center"/>
    </xf>
    <xf numFmtId="1" fontId="34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/>
    </xf>
    <xf numFmtId="164" fontId="35" fillId="0" borderId="0" applyAlignment="1" pivotButton="0" quotePrefix="0" xfId="0">
      <alignment horizontal="left" vertical="center"/>
    </xf>
    <xf numFmtId="164" fontId="36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vertical="center"/>
    </xf>
    <xf numFmtId="164" fontId="38" fillId="0" borderId="0" applyAlignment="1" pivotButton="0" quotePrefix="0" xfId="0">
      <alignment vertical="center"/>
    </xf>
    <xf numFmtId="164" fontId="38" fillId="0" borderId="0" applyAlignment="1" pivotButton="0" quotePrefix="0" xfId="0">
      <alignment horizontal="center" vertical="center"/>
    </xf>
    <xf numFmtId="164" fontId="35" fillId="0" borderId="0" applyAlignment="1" pivotButton="0" quotePrefix="0" xfId="0">
      <alignment vertical="center"/>
    </xf>
    <xf numFmtId="164" fontId="38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vertical="center"/>
    </xf>
    <xf numFmtId="4" fontId="11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left" vertical="center"/>
    </xf>
    <xf numFmtId="0" fontId="43" fillId="0" borderId="0" pivotButton="0" quotePrefix="0" xfId="1"/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166" fontId="5" fillId="0" borderId="1" applyAlignment="1" pivotButton="0" quotePrefix="0" xfId="0">
      <alignment horizontal="center" vertical="center" wrapText="1"/>
    </xf>
    <xf numFmtId="166" fontId="5" fillId="0" borderId="2" applyAlignment="1" pivotButton="0" quotePrefix="0" xfId="0">
      <alignment horizontal="center" vertical="center" wrapText="1"/>
    </xf>
    <xf numFmtId="0" fontId="45" fillId="0" borderId="1" applyAlignment="1" pivotButton="0" quotePrefix="0" xfId="0">
      <alignment horizontal="center" vertical="center"/>
    </xf>
    <xf numFmtId="166" fontId="46" fillId="0" borderId="2" applyAlignment="1" pivotButton="0" quotePrefix="0" xfId="0">
      <alignment horizontal="center" vertical="center" wrapText="1"/>
    </xf>
    <xf numFmtId="167" fontId="5" fillId="0" borderId="2" applyAlignment="1" pivotButton="0" quotePrefix="0" xfId="0">
      <alignment horizontal="center" vertical="center" wrapText="1"/>
    </xf>
    <xf numFmtId="0" fontId="46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166" fontId="5" fillId="0" borderId="5" applyAlignment="1" pivotButton="0" quotePrefix="0" xfId="0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167" fontId="46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168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1">
      <alignment horizontal="center"/>
    </xf>
    <xf numFmtId="0" fontId="6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vertical="center"/>
    </xf>
    <xf numFmtId="0" fontId="49" fillId="0" borderId="0" pivotButton="0" quotePrefix="0" xfId="1"/>
    <xf numFmtId="169" fontId="6" fillId="0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6" fontId="51" fillId="0" borderId="2" applyAlignment="1" pivotButton="0" quotePrefix="0" xfId="0">
      <alignment horizontal="center" vertical="center" wrapText="1"/>
    </xf>
    <xf numFmtId="170" fontId="5" fillId="0" borderId="0" applyAlignment="1" pivotButton="0" quotePrefix="0" xfId="0">
      <alignment horizontal="left" vertical="center" wrapText="1"/>
    </xf>
    <xf numFmtId="166" fontId="5" fillId="0" borderId="0" applyAlignment="1" pivotButton="0" quotePrefix="0" xfId="0">
      <alignment horizontal="left" vertical="center" wrapText="1"/>
    </xf>
    <xf numFmtId="166" fontId="48" fillId="0" borderId="0" applyAlignment="1" pivotButton="0" quotePrefix="0" xfId="0">
      <alignment vertical="center" wrapText="1"/>
    </xf>
    <xf numFmtId="166" fontId="48" fillId="0" borderId="0" applyAlignment="1" pivotButton="0" quotePrefix="0" xfId="0">
      <alignment vertical="center"/>
    </xf>
    <xf numFmtId="166" fontId="51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6" fontId="46" fillId="3" borderId="2" applyAlignment="1" pivotButton="0" quotePrefix="0" xfId="0">
      <alignment horizontal="center" vertical="center" wrapText="1"/>
    </xf>
    <xf numFmtId="167" fontId="5" fillId="3" borderId="2" applyAlignment="1" pivotButton="0" quotePrefix="0" xfId="0">
      <alignment horizontal="center" vertical="center" wrapText="1"/>
    </xf>
    <xf numFmtId="0" fontId="46" fillId="3" borderId="2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66" fontId="44" fillId="0" borderId="2" applyAlignment="1" pivotButton="0" quotePrefix="0" xfId="0">
      <alignment horizontal="center" vertical="center" wrapText="1"/>
    </xf>
    <xf numFmtId="166" fontId="44" fillId="3" borderId="2" applyAlignment="1" pivotButton="0" quotePrefix="0" xfId="0">
      <alignment horizontal="center" vertical="center" wrapText="1"/>
    </xf>
    <xf numFmtId="167" fontId="44" fillId="3" borderId="2" applyAlignment="1" pivotButton="0" quotePrefix="0" xfId="0">
      <alignment horizontal="center" vertical="center" wrapText="1"/>
    </xf>
    <xf numFmtId="166" fontId="53" fillId="3" borderId="3" applyAlignment="1" pivotButton="0" quotePrefix="0" xfId="0">
      <alignment horizontal="center" vertical="center" wrapText="1"/>
    </xf>
    <xf numFmtId="166" fontId="53" fillId="3" borderId="2" applyAlignment="1" pivotButton="0" quotePrefix="0" xfId="0">
      <alignment horizontal="center" vertical="center" wrapText="1"/>
    </xf>
    <xf numFmtId="167" fontId="53" fillId="3" borderId="2" applyAlignment="1" pivotButton="0" quotePrefix="0" xfId="0">
      <alignment horizontal="center" vertical="center" wrapText="1"/>
    </xf>
    <xf numFmtId="0" fontId="53" fillId="3" borderId="2" applyAlignment="1" pivotButton="0" quotePrefix="0" xfId="0">
      <alignment horizontal="center" vertical="center" wrapText="1"/>
    </xf>
    <xf numFmtId="166" fontId="44" fillId="0" borderId="3" applyAlignment="1" pivotButton="0" quotePrefix="0" xfId="0">
      <alignment horizontal="center" vertical="center" wrapText="1"/>
    </xf>
    <xf numFmtId="167" fontId="44" fillId="0" borderId="2" applyAlignment="1" pivotButton="0" quotePrefix="0" xfId="0">
      <alignment horizontal="center" vertical="center" wrapText="1"/>
    </xf>
    <xf numFmtId="0" fontId="44" fillId="0" borderId="2" applyAlignment="1" pivotButton="0" quotePrefix="0" xfId="0">
      <alignment horizontal="center" vertical="center" wrapText="1"/>
    </xf>
    <xf numFmtId="166" fontId="44" fillId="3" borderId="3" applyAlignment="1" pivotButton="0" quotePrefix="0" xfId="0">
      <alignment horizontal="center" vertical="center" wrapText="1"/>
    </xf>
    <xf numFmtId="0" fontId="44" fillId="3" borderId="2" applyAlignment="1" pivotButton="0" quotePrefix="0" xfId="0">
      <alignment horizontal="center" vertical="center" wrapText="1"/>
    </xf>
    <xf numFmtId="166" fontId="54" fillId="0" borderId="2" applyAlignment="1" pivotButton="0" quotePrefix="0" xfId="0">
      <alignment horizontal="center" vertical="center" wrapText="1"/>
    </xf>
    <xf numFmtId="166" fontId="54" fillId="3" borderId="2" applyAlignment="1" pivotButton="0" quotePrefix="0" xfId="0">
      <alignment horizontal="center" vertical="center" wrapText="1"/>
    </xf>
    <xf numFmtId="166" fontId="55" fillId="0" borderId="2" applyAlignment="1" pivotButton="0" quotePrefix="0" xfId="0">
      <alignment horizontal="center" vertical="center" wrapText="1"/>
    </xf>
    <xf numFmtId="166" fontId="55" fillId="3" borderId="2" applyAlignment="1" pivotButton="0" quotePrefix="0" xfId="0">
      <alignment horizontal="center" vertical="center" wrapText="1"/>
    </xf>
    <xf numFmtId="167" fontId="46" fillId="3" borderId="2" applyAlignment="1" pivotButton="0" quotePrefix="0" xfId="0">
      <alignment horizontal="center" vertical="center" wrapText="1"/>
    </xf>
    <xf numFmtId="166" fontId="54" fillId="0" borderId="16" applyAlignment="1" pivotButton="0" quotePrefix="0" xfId="0">
      <alignment horizontal="center" vertical="center" wrapText="1"/>
    </xf>
    <xf numFmtId="166" fontId="54" fillId="3" borderId="17" applyAlignment="1" pivotButton="0" quotePrefix="0" xfId="0">
      <alignment horizontal="center" vertical="center" wrapText="1"/>
    </xf>
    <xf numFmtId="166" fontId="51" fillId="0" borderId="16" applyAlignment="1" pivotButton="0" quotePrefix="0" xfId="0">
      <alignment horizontal="center" vertical="center" wrapText="1"/>
    </xf>
    <xf numFmtId="166" fontId="51" fillId="3" borderId="18" applyAlignment="1" pivotButton="0" quotePrefix="0" xfId="0">
      <alignment horizontal="center" vertical="center" wrapText="1"/>
    </xf>
    <xf numFmtId="166" fontId="54" fillId="0" borderId="18" applyAlignment="1" pivotButton="0" quotePrefix="0" xfId="0">
      <alignment horizontal="center" vertical="center" wrapText="1"/>
    </xf>
    <xf numFmtId="166" fontId="54" fillId="3" borderId="18" applyAlignment="1" pivotButton="0" quotePrefix="0" xfId="0">
      <alignment horizontal="center" vertical="center" wrapText="1"/>
    </xf>
    <xf numFmtId="166" fontId="51" fillId="0" borderId="18" applyAlignment="1" pivotButton="0" quotePrefix="0" xfId="0">
      <alignment horizontal="center" vertical="center" wrapText="1"/>
    </xf>
    <xf numFmtId="166" fontId="51" fillId="3" borderId="17" applyAlignment="1" pivotButton="0" quotePrefix="0" xfId="0">
      <alignment horizontal="center" vertical="center" wrapText="1"/>
    </xf>
    <xf numFmtId="166" fontId="51" fillId="0" borderId="19" applyAlignment="1" pivotButton="0" quotePrefix="0" xfId="0">
      <alignment horizontal="center" vertical="center" wrapText="1"/>
    </xf>
    <xf numFmtId="166" fontId="5" fillId="0" borderId="7" applyAlignment="1" pivotButton="0" quotePrefix="0" xfId="0">
      <alignment horizontal="center" vertical="center" wrapText="1"/>
    </xf>
    <xf numFmtId="166" fontId="46" fillId="0" borderId="5" applyAlignment="1" pivotButton="0" quotePrefix="0" xfId="0">
      <alignment horizontal="center" vertical="center" wrapText="1"/>
    </xf>
    <xf numFmtId="167" fontId="5" fillId="0" borderId="5" applyAlignment="1" pivotButton="0" quotePrefix="0" xfId="0">
      <alignment horizontal="center" vertical="center" wrapText="1"/>
    </xf>
    <xf numFmtId="0" fontId="46" fillId="0" borderId="5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166" fontId="41" fillId="0" borderId="1" applyAlignment="1" pivotButton="0" quotePrefix="0" xfId="0">
      <alignment horizontal="center" vertical="center" wrapText="1"/>
    </xf>
    <xf numFmtId="166" fontId="5" fillId="0" borderId="5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6" fontId="48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4" applyAlignment="1" pivotButton="0" quotePrefix="0" xfId="0">
      <alignment horizontal="center" vertical="center" wrapText="1"/>
    </xf>
    <xf numFmtId="166" fontId="5" fillId="0" borderId="15" applyAlignment="1" pivotButton="0" quotePrefix="0" xfId="0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166" fontId="55" fillId="0" borderId="2" applyAlignment="1" pivotButton="0" quotePrefix="0" xfId="0">
      <alignment horizontal="center" vertical="center" wrapText="1"/>
    </xf>
    <xf numFmtId="166" fontId="48" fillId="0" borderId="2" applyAlignment="1" pivotButton="0" quotePrefix="0" xfId="0">
      <alignment horizontal="center" vertical="center" wrapText="1"/>
    </xf>
    <xf numFmtId="166" fontId="48" fillId="0" borderId="6" applyAlignment="1" pivotButton="0" quotePrefix="0" xfId="0">
      <alignment horizontal="center" vertical="center" wrapText="1"/>
    </xf>
    <xf numFmtId="166" fontId="48" fillId="0" borderId="5" applyAlignment="1" pivotButton="0" quotePrefix="0" xfId="0">
      <alignment horizontal="center" vertical="center" wrapText="1"/>
    </xf>
    <xf numFmtId="0" fontId="7" fillId="2" borderId="1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20" fillId="2" borderId="8" applyAlignment="1" pivotButton="0" quotePrefix="0" xfId="0">
      <alignment horizontal="center" vertical="center" wrapText="1"/>
    </xf>
    <xf numFmtId="0" fontId="7" fillId="2" borderId="1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0" fontId="0" fillId="0" borderId="0" pivotButton="0" quotePrefix="0" xfId="0"/>
    <xf numFmtId="166" fontId="41" fillId="0" borderId="2" applyAlignment="1" pivotButton="0" quotePrefix="0" xfId="0">
      <alignment horizontal="center" vertical="center" wrapText="1"/>
    </xf>
    <xf numFmtId="166" fontId="4" fillId="0" borderId="2" applyAlignment="1" pivotButton="0" quotePrefix="0" xfId="0">
      <alignment horizontal="center" vertical="center" wrapText="1"/>
    </xf>
    <xf numFmtId="166" fontId="5" fillId="0" borderId="2" applyAlignment="1" pivotButton="0" quotePrefix="0" xfId="0">
      <alignment horizontal="center" vertical="center" wrapText="1"/>
    </xf>
    <xf numFmtId="166" fontId="48" fillId="0" borderId="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3" pivotButton="0" quotePrefix="0" xfId="0"/>
    <xf numFmtId="0" fontId="0" fillId="0" borderId="5" pivotButton="0" quotePrefix="0" xfId="0"/>
    <xf numFmtId="166" fontId="5" fillId="0" borderId="1" applyAlignment="1" pivotButton="0" quotePrefix="0" xfId="0">
      <alignment horizontal="center" vertical="center" wrapText="1"/>
    </xf>
    <xf numFmtId="166" fontId="51" fillId="0" borderId="2" applyAlignment="1" pivotButton="0" quotePrefix="0" xfId="0">
      <alignment horizontal="center" vertical="center" wrapText="1"/>
    </xf>
    <xf numFmtId="166" fontId="46" fillId="0" borderId="2" applyAlignment="1" pivotButton="0" quotePrefix="0" xfId="0">
      <alignment horizontal="center" vertical="center" wrapText="1"/>
    </xf>
    <xf numFmtId="167" fontId="5" fillId="0" borderId="2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170" fontId="5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166" fontId="51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6" fontId="46" fillId="3" borderId="2" applyAlignment="1" pivotButton="0" quotePrefix="0" xfId="0">
      <alignment horizontal="center" vertical="center" wrapText="1"/>
    </xf>
    <xf numFmtId="167" fontId="5" fillId="3" borderId="2" applyAlignment="1" pivotButton="0" quotePrefix="0" xfId="0">
      <alignment horizontal="center" vertical="center" wrapText="1"/>
    </xf>
    <xf numFmtId="166" fontId="5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left" vertical="center" wrapText="1"/>
    </xf>
    <xf numFmtId="169" fontId="6" fillId="0" borderId="0" applyAlignment="1" pivotButton="0" quotePrefix="0" xfId="0">
      <alignment horizontal="center" vertical="center"/>
    </xf>
    <xf numFmtId="166" fontId="48" fillId="0" borderId="0" applyAlignment="1" pivotButton="0" quotePrefix="0" xfId="0">
      <alignment vertical="center" wrapText="1"/>
    </xf>
    <xf numFmtId="166" fontId="44" fillId="0" borderId="2" applyAlignment="1" pivotButton="0" quotePrefix="0" xfId="0">
      <alignment horizontal="center" vertical="center" wrapText="1"/>
    </xf>
    <xf numFmtId="166" fontId="44" fillId="3" borderId="2" applyAlignment="1" pivotButton="0" quotePrefix="0" xfId="0">
      <alignment horizontal="center" vertical="center" wrapText="1"/>
    </xf>
    <xf numFmtId="166" fontId="48" fillId="0" borderId="0" applyAlignment="1" pivotButton="0" quotePrefix="0" xfId="0">
      <alignment vertical="center"/>
    </xf>
    <xf numFmtId="168" fontId="5" fillId="0" borderId="0" applyAlignment="1" pivotButton="0" quotePrefix="0" xfId="0">
      <alignment horizontal="center" vertical="center"/>
    </xf>
    <xf numFmtId="166" fontId="54" fillId="0" borderId="2" applyAlignment="1" pivotButton="0" quotePrefix="0" xfId="0">
      <alignment horizontal="center" vertical="center" wrapText="1"/>
    </xf>
    <xf numFmtId="167" fontId="44" fillId="0" borderId="2" applyAlignment="1" pivotButton="0" quotePrefix="0" xfId="0">
      <alignment horizontal="center" vertical="center" wrapText="1"/>
    </xf>
    <xf numFmtId="166" fontId="54" fillId="3" borderId="2" applyAlignment="1" pivotButton="0" quotePrefix="0" xfId="0">
      <alignment horizontal="center" vertical="center" wrapText="1"/>
    </xf>
    <xf numFmtId="167" fontId="44" fillId="3" borderId="2" applyAlignment="1" pivotButton="0" quotePrefix="0" xfId="0">
      <alignment horizontal="center" vertical="center" wrapText="1"/>
    </xf>
    <xf numFmtId="166" fontId="51" fillId="0" borderId="19" applyAlignment="1" pivotButton="0" quotePrefix="0" xfId="0">
      <alignment horizontal="center" vertical="center" wrapText="1"/>
    </xf>
    <xf numFmtId="166" fontId="5" fillId="0" borderId="7" applyAlignment="1" pivotButton="0" quotePrefix="0" xfId="0">
      <alignment horizontal="center" vertical="center" wrapText="1"/>
    </xf>
    <xf numFmtId="166" fontId="46" fillId="0" borderId="5" applyAlignment="1" pivotButton="0" quotePrefix="0" xfId="0">
      <alignment horizontal="center" vertical="center" wrapText="1"/>
    </xf>
    <xf numFmtId="166" fontId="5" fillId="0" borderId="5" applyAlignment="1" pivotButton="0" quotePrefix="0" xfId="0">
      <alignment horizontal="center" vertical="center" wrapText="1"/>
    </xf>
    <xf numFmtId="167" fontId="5" fillId="0" borderId="5" applyAlignment="1" pivotButton="0" quotePrefix="0" xfId="0">
      <alignment horizontal="center" vertical="center" wrapText="1"/>
    </xf>
    <xf numFmtId="166" fontId="51" fillId="3" borderId="18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66" fontId="54" fillId="0" borderId="18" applyAlignment="1" pivotButton="0" quotePrefix="0" xfId="0">
      <alignment horizontal="center" vertical="center" wrapText="1"/>
    </xf>
    <xf numFmtId="166" fontId="44" fillId="0" borderId="3" applyAlignment="1" pivotButton="0" quotePrefix="0" xfId="0">
      <alignment horizontal="center" vertical="center" wrapText="1"/>
    </xf>
    <xf numFmtId="166" fontId="54" fillId="3" borderId="17" applyAlignment="1" pivotButton="0" quotePrefix="0" xfId="0">
      <alignment horizontal="center" vertical="center" wrapText="1"/>
    </xf>
    <xf numFmtId="166" fontId="44" fillId="3" borderId="3" applyAlignment="1" pivotButton="0" quotePrefix="0" xfId="0">
      <alignment horizontal="center" vertical="center" wrapText="1"/>
    </xf>
    <xf numFmtId="166" fontId="54" fillId="0" borderId="16" applyAlignment="1" pivotButton="0" quotePrefix="0" xfId="0">
      <alignment horizontal="center" vertical="center" wrapText="1"/>
    </xf>
    <xf numFmtId="166" fontId="54" fillId="3" borderId="18" applyAlignment="1" pivotButton="0" quotePrefix="0" xfId="0">
      <alignment horizontal="center" vertical="center" wrapText="1"/>
    </xf>
    <xf numFmtId="166" fontId="51" fillId="0" borderId="18" applyAlignment="1" pivotButton="0" quotePrefix="0" xfId="0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166" fontId="51" fillId="3" borderId="17" applyAlignment="1" pivotButton="0" quotePrefix="0" xfId="0">
      <alignment horizontal="center" vertical="center" wrapText="1"/>
    </xf>
    <xf numFmtId="166" fontId="51" fillId="0" borderId="16" applyAlignment="1" pivotButton="0" quotePrefix="0" xfId="0">
      <alignment horizontal="center" vertical="center" wrapText="1"/>
    </xf>
    <xf numFmtId="166" fontId="53" fillId="3" borderId="3" applyAlignment="1" pivotButton="0" quotePrefix="0" xfId="0">
      <alignment horizontal="center" vertical="center" wrapText="1"/>
    </xf>
    <xf numFmtId="166" fontId="53" fillId="3" borderId="2" applyAlignment="1" pivotButton="0" quotePrefix="0" xfId="0">
      <alignment horizontal="center" vertical="center" wrapText="1"/>
    </xf>
    <xf numFmtId="167" fontId="53" fillId="3" borderId="2" applyAlignment="1" pivotButton="0" quotePrefix="0" xfId="0">
      <alignment horizontal="center" vertical="center" wrapText="1"/>
    </xf>
    <xf numFmtId="166" fontId="55" fillId="0" borderId="2" applyAlignment="1" pivotButton="0" quotePrefix="0" xfId="0">
      <alignment horizontal="center" vertical="center" wrapText="1"/>
    </xf>
    <xf numFmtId="167" fontId="46" fillId="0" borderId="2" applyAlignment="1" pivotButton="0" quotePrefix="0" xfId="0">
      <alignment horizontal="center" vertical="center" wrapText="1"/>
    </xf>
    <xf numFmtId="166" fontId="55" fillId="3" borderId="2" applyAlignment="1" pivotButton="0" quotePrefix="0" xfId="0">
      <alignment horizontal="center" vertical="center" wrapText="1"/>
    </xf>
    <xf numFmtId="167" fontId="46" fillId="3" borderId="2" applyAlignment="1" pivotButton="0" quotePrefix="0" xfId="0">
      <alignment horizontal="center" vertical="center" wrapText="1"/>
    </xf>
  </cellXfs>
  <cellStyles count="2">
    <cellStyle name="一般" xfId="0" builtinId="0"/>
    <cellStyle name="一般 2" xfId="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externalLink" Target="/xl/externalLinks/externalLink3.xml" Id="rId4"/><Relationship Type="http://schemas.openxmlformats.org/officeDocument/2006/relationships/externalLink" Target="/xl/externalLinks/externalLink4.xml" Id="rId5"/><Relationship Type="http://schemas.openxmlformats.org/officeDocument/2006/relationships/externalLink" Target="/xl/externalLinks/externalLink5.xml" Id="rId6"/><Relationship Type="http://schemas.openxmlformats.org/officeDocument/2006/relationships/externalLink" Target="/xl/externalLinks/externalLink6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&#22522;TooL\&#24040;&#22522;&#38598;\4N(G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\&#22522;TooL\&#24040;&#22522;&#38598;\2011&#26691;&#22290;4N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Public\&#20844;&#29992;&#38651;&#33126;&#36039;&#26009;&#24235;%20(e)\&#36335;&#21475;&#25972;&#29702;&#34920;\Int4N_OLD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Public\&#20844;&#29992;&#38651;&#33126;&#36039;&#26009;&#24235;%20(e)\2010%20&#38663;&#23536;%20&#26691;&#22290;\&#26691;&#22290;&#23436;&#25972;&#29256;\&#26691;&#22290;&#38663;&#23536;&#29256;\&#20013;&#22754;&#24066;-&#29872;&#21271;&#36335;~&#26032;&#29983;&#36335;\Int4N_OLD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Public\&#20844;&#29992;&#38651;&#33126;&#36039;&#26009;&#24235;%20(e)\2010%20&#38663;&#23536;%20&#26691;&#22290;\&#26691;&#22290;&#23436;&#25972;&#29256;\&#29872;&#21271;&#36335;~&#26032;&#29983;&#36335;(&#26691;&#22290;)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D:\&#22522;TooL\&#24040;&#22522;&#38598;\20121218%20&#38598;&#36066;4N(&#19990;&#26342;F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集賢"/>
      <sheetName val="圖"/>
      <sheetName val="基本"/>
      <sheetName val="時制"/>
      <sheetName val="累計"/>
      <sheetName val="平日"/>
      <sheetName val="累計(2)"/>
      <sheetName val="假日"/>
      <sheetName val="計算"/>
      <sheetName val="通用"/>
      <sheetName val="易緯"/>
      <sheetName val="鼎漢"/>
      <sheetName val="鼎漢L"/>
      <sheetName val="美聯"/>
      <sheetName val="世曦"/>
    </sheetNames>
    <sheetDataSet>
      <sheetData sheetId="0"/>
      <sheetData sheetId="1"/>
      <sheetData sheetId="2">
        <row r="35">
          <cell r="B35">
            <v>2</v>
          </cell>
          <cell r="C35">
            <v>1.05</v>
          </cell>
          <cell r="D35">
            <v>0.43</v>
          </cell>
          <cell r="E35">
            <v>0</v>
          </cell>
          <cell r="F35">
            <v>1.8</v>
          </cell>
          <cell r="G35">
            <v>1</v>
          </cell>
          <cell r="H35">
            <v>0.42</v>
          </cell>
          <cell r="I35">
            <v>2.7</v>
          </cell>
          <cell r="J35">
            <v>1.08</v>
          </cell>
          <cell r="K35">
            <v>0.45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基本"/>
      <sheetName val="調查"/>
      <sheetName val="計算"/>
      <sheetName val="表4計算"/>
      <sheetName val="時制"/>
      <sheetName val="表"/>
      <sheetName val="圖"/>
      <sheetName val="圖1路口幾何圖"/>
      <sheetName val="表1路口轉向交通量"/>
      <sheetName val="表2尖峰小時交通量"/>
      <sheetName val="表4號誌設置評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基本"/>
      <sheetName val="調查"/>
      <sheetName val="時段"/>
      <sheetName val="當量"/>
      <sheetName val="計算OD"/>
      <sheetName val="表OD"/>
      <sheetName val="圖"/>
      <sheetName val="基本格式"/>
      <sheetName val="統計格式"/>
      <sheetName val="圖OD"/>
    </sheetNames>
    <sheetDataSet>
      <sheetData sheetId="0">
        <row r="1">
          <cell r="G1">
            <v>0</v>
          </cell>
        </row>
        <row r="5">
          <cell r="E5">
            <v>0</v>
          </cell>
          <cell r="I5">
            <v>0</v>
          </cell>
        </row>
        <row r="6">
          <cell r="C6" t="str">
            <v>(Sat)</v>
          </cell>
        </row>
        <row r="9">
          <cell r="G9">
            <v>0</v>
          </cell>
        </row>
      </sheetData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基本"/>
      <sheetName val="調查"/>
      <sheetName val="時段"/>
      <sheetName val="當量"/>
      <sheetName val="計算OD"/>
      <sheetName val="表OD"/>
      <sheetName val="圖"/>
      <sheetName val="基本格式"/>
      <sheetName val="統計格式"/>
      <sheetName val="圖OD"/>
    </sheetNames>
    <sheetDataSet>
      <sheetData sheetId="0">
        <row r="6">
          <cell r="C6" t="str">
            <v>(Sat)</v>
          </cell>
        </row>
      </sheetData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基本"/>
      <sheetName val="調查"/>
      <sheetName val="時制"/>
      <sheetName val="當量"/>
      <sheetName val="計算"/>
      <sheetName val="表"/>
      <sheetName val="圖"/>
      <sheetName val="圖1路口幾何圖"/>
      <sheetName val="表1路口轉向交通量"/>
      <sheetName val="表2尖峰小時交通量"/>
    </sheetNames>
    <sheetDataSet>
      <sheetData sheetId="0"/>
      <sheetData sheetId="1"/>
      <sheetData sheetId="2"/>
      <sheetData sheetId="3"/>
      <sheetData sheetId="4">
        <row r="3">
          <cell r="Y3">
            <v>23433.900000000005</v>
          </cell>
        </row>
      </sheetData>
      <sheetData sheetId="5">
        <row r="1">
          <cell r="B1" t="str">
            <v>站　號：</v>
          </cell>
          <cell r="C1" t="str">
            <v> </v>
          </cell>
          <cell r="K1" t="str">
            <v>站名：</v>
          </cell>
          <cell r="L1" t="str">
            <v>環北路~新生路</v>
          </cell>
          <cell r="Q1" t="str">
            <v>註：</v>
          </cell>
          <cell r="R1" t="str">
            <v>無管制</v>
          </cell>
          <cell r="AA1" t="str">
            <v>新生路</v>
          </cell>
          <cell r="AD1" t="str">
            <v>N</v>
          </cell>
        </row>
        <row r="2">
          <cell r="B2" t="str">
            <v>時相數：</v>
          </cell>
          <cell r="C2" t="str">
            <v>3</v>
          </cell>
          <cell r="K2" t="str">
            <v>日期：</v>
          </cell>
          <cell r="L2" t="str">
            <v>4/16(Fri)</v>
          </cell>
          <cell r="R2" t="str"/>
          <cell r="AA2" t="str">
            <v>D</v>
          </cell>
          <cell r="AD2" t="str">
            <v>↑</v>
          </cell>
        </row>
        <row r="3">
          <cell r="B3" t="str">
            <v>方　向：</v>
          </cell>
          <cell r="C3" t="str">
            <v>A</v>
          </cell>
          <cell r="D3" t="str">
            <v>B</v>
          </cell>
          <cell r="E3" t="str">
            <v>C</v>
          </cell>
          <cell r="F3" t="str">
            <v>D</v>
          </cell>
          <cell r="K3" t="str">
            <v>天候：</v>
          </cell>
          <cell r="L3" t="str">
            <v>陰</v>
          </cell>
          <cell r="R3" t="str"/>
          <cell r="Y3" t="str">
            <v>環北路</v>
          </cell>
          <cell r="Z3" t="str">
            <v>C</v>
          </cell>
          <cell r="AB3" t="str">
            <v>A</v>
          </cell>
          <cell r="AC3" t="str">
            <v>環北路</v>
          </cell>
        </row>
        <row r="4">
          <cell r="B4" t="str">
            <v>車道數：</v>
          </cell>
          <cell r="C4" t="str">
            <v>3</v>
          </cell>
          <cell r="D4" t="str">
            <v>2</v>
          </cell>
          <cell r="E4" t="str">
            <v>3</v>
          </cell>
          <cell r="F4" t="str">
            <v>3</v>
          </cell>
          <cell r="R4" t="str"/>
          <cell r="AA4" t="str">
            <v>B</v>
          </cell>
        </row>
        <row r="5">
          <cell r="AA5" t="str">
            <v>新生路</v>
          </cell>
        </row>
        <row r="7">
          <cell r="A7" t="str">
            <v>方</v>
          </cell>
          <cell r="B7" t="str">
            <v>時</v>
          </cell>
          <cell r="D7" t="str">
            <v>左轉</v>
          </cell>
          <cell r="K7" t="str">
            <v>直進</v>
          </cell>
          <cell r="Q7" t="str">
            <v>右轉</v>
          </cell>
          <cell r="W7" t="str">
            <v>合計</v>
          </cell>
        </row>
        <row r="8">
          <cell r="D8" t="str">
            <v>大型車</v>
          </cell>
          <cell r="E8" t="str">
            <v>小型車</v>
          </cell>
          <cell r="F8" t="str">
            <v>機車</v>
          </cell>
          <cell r="G8" t="str">
            <v>PCU</v>
          </cell>
          <cell r="H8" t="str">
            <v>轉向比</v>
          </cell>
          <cell r="I8" t="str">
            <v>機車二段</v>
          </cell>
          <cell r="K8" t="str">
            <v>大型車</v>
          </cell>
          <cell r="L8" t="str">
            <v>小型車</v>
          </cell>
          <cell r="M8" t="str">
            <v>機車</v>
          </cell>
          <cell r="N8" t="str">
            <v>PCU</v>
          </cell>
          <cell r="O8" t="str">
            <v>轉向比</v>
          </cell>
          <cell r="Q8" t="str">
            <v>大型車</v>
          </cell>
          <cell r="R8" t="str">
            <v>小型車</v>
          </cell>
          <cell r="S8" t="str">
            <v>機車</v>
          </cell>
          <cell r="T8" t="str">
            <v>PCU</v>
          </cell>
          <cell r="U8" t="str">
            <v>轉向比</v>
          </cell>
          <cell r="W8" t="str">
            <v>大型車</v>
          </cell>
          <cell r="X8" t="str">
            <v>車種</v>
          </cell>
          <cell r="Y8" t="str">
            <v>小型車</v>
          </cell>
          <cell r="Z8" t="str">
            <v>車種</v>
          </cell>
          <cell r="AA8" t="str">
            <v>機車</v>
          </cell>
          <cell r="AB8" t="str">
            <v>車種</v>
          </cell>
          <cell r="AC8" t="str">
            <v>PCU</v>
          </cell>
        </row>
        <row r="9">
          <cell r="A9" t="str">
            <v>向</v>
          </cell>
          <cell r="B9" t="str">
            <v>間</v>
          </cell>
          <cell r="D9" t="str">
            <v>(輛)</v>
          </cell>
          <cell r="E9" t="str">
            <v>(輛)</v>
          </cell>
          <cell r="F9" t="str">
            <v>(輛)</v>
          </cell>
          <cell r="I9" t="str">
            <v>(輛)</v>
          </cell>
          <cell r="K9" t="str">
            <v>(輛)</v>
          </cell>
          <cell r="L9" t="str">
            <v>(輛)</v>
          </cell>
          <cell r="M9" t="str">
            <v>(輛)</v>
          </cell>
          <cell r="Q9" t="str">
            <v>(輛)</v>
          </cell>
          <cell r="R9" t="str">
            <v>(輛)</v>
          </cell>
          <cell r="S9" t="str">
            <v>(輛)</v>
          </cell>
          <cell r="W9" t="str">
            <v>(輛)</v>
          </cell>
          <cell r="X9" t="str">
            <v>比例</v>
          </cell>
          <cell r="Y9" t="str">
            <v>(輛)</v>
          </cell>
          <cell r="Z9" t="str">
            <v>比例</v>
          </cell>
          <cell r="AA9" t="str">
            <v>(輛)</v>
          </cell>
          <cell r="AB9" t="str">
            <v>比例</v>
          </cell>
          <cell r="AD9" t="str">
            <v>PHF</v>
          </cell>
        </row>
        <row r="10">
          <cell r="A10" t="str">
            <v>A</v>
          </cell>
          <cell r="B10" t="str">
            <v>07:00-08:00</v>
          </cell>
          <cell r="D10">
            <v>0</v>
          </cell>
          <cell r="E10">
            <v>8</v>
          </cell>
          <cell r="F10">
            <v>1</v>
          </cell>
          <cell r="G10">
            <v>13</v>
          </cell>
          <cell r="H10">
            <v>7.131102578167855E-3</v>
          </cell>
          <cell r="I10">
            <v>1</v>
          </cell>
          <cell r="K10">
            <v>25</v>
          </cell>
          <cell r="L10">
            <v>983</v>
          </cell>
          <cell r="M10">
            <v>863</v>
          </cell>
          <cell r="N10">
            <v>1279</v>
          </cell>
          <cell r="O10">
            <v>0.70159078442128364</v>
          </cell>
          <cell r="Q10">
            <v>1</v>
          </cell>
          <cell r="R10">
            <v>357</v>
          </cell>
          <cell r="S10">
            <v>161</v>
          </cell>
          <cell r="T10">
            <v>531</v>
          </cell>
          <cell r="U10">
            <v>0.29127811300054857</v>
          </cell>
          <cell r="W10">
            <v>26</v>
          </cell>
          <cell r="X10">
            <v>1.0837849103793247E-2</v>
          </cell>
          <cell r="Y10">
            <v>1348</v>
          </cell>
          <cell r="Z10">
            <v>0.56190079199666532</v>
          </cell>
          <cell r="AA10">
            <v>1025</v>
          </cell>
          <cell r="AB10">
            <v>0.42726135889954148</v>
          </cell>
          <cell r="AC10">
            <v>1823</v>
          </cell>
        </row>
        <row r="11">
          <cell r="B11" t="str">
            <v>08:00-09:00</v>
          </cell>
          <cell r="D11">
            <v>0</v>
          </cell>
          <cell r="E11">
            <v>21</v>
          </cell>
          <cell r="F11">
            <v>4</v>
          </cell>
          <cell r="G11">
            <v>34</v>
          </cell>
          <cell r="H11">
            <v>2.5129342202512936E-2</v>
          </cell>
          <cell r="I11">
            <v>3</v>
          </cell>
          <cell r="K11">
            <v>23</v>
          </cell>
          <cell r="L11">
            <v>805</v>
          </cell>
          <cell r="M11">
            <v>469</v>
          </cell>
          <cell r="N11">
            <v>980</v>
          </cell>
          <cell r="O11">
            <v>0.72431633407243168</v>
          </cell>
          <cell r="Q11">
            <v>3</v>
          </cell>
          <cell r="R11">
            <v>219</v>
          </cell>
          <cell r="S11">
            <v>120</v>
          </cell>
          <cell r="T11">
            <v>339</v>
          </cell>
          <cell r="U11">
            <v>0.25055432372505543</v>
          </cell>
          <cell r="W11">
            <v>26</v>
          </cell>
          <cell r="X11">
            <v>1.5625E-2</v>
          </cell>
          <cell r="Y11">
            <v>1045</v>
          </cell>
          <cell r="Z11">
            <v>0.62800480769230771</v>
          </cell>
          <cell r="AA11">
            <v>593</v>
          </cell>
          <cell r="AB11">
            <v>0.35637019230769229</v>
          </cell>
          <cell r="AC11">
            <v>1353</v>
          </cell>
        </row>
        <row r="12">
          <cell r="B12" t="str">
            <v>17:00-18:00</v>
          </cell>
          <cell r="D12">
            <v>0</v>
          </cell>
          <cell r="E12">
            <v>46</v>
          </cell>
          <cell r="F12">
            <v>4</v>
          </cell>
          <cell r="G12">
            <v>71</v>
          </cell>
          <cell r="H12">
            <v>5.436447166921899E-2</v>
          </cell>
          <cell r="I12">
            <v>19</v>
          </cell>
          <cell r="K12">
            <v>36</v>
          </cell>
          <cell r="L12">
            <v>750</v>
          </cell>
          <cell r="M12">
            <v>553</v>
          </cell>
          <cell r="N12">
            <v>970</v>
          </cell>
          <cell r="O12">
            <v>0.74272588055130173</v>
          </cell>
          <cell r="Q12">
            <v>0</v>
          </cell>
          <cell r="R12">
            <v>170</v>
          </cell>
          <cell r="S12">
            <v>110</v>
          </cell>
          <cell r="T12">
            <v>265</v>
          </cell>
          <cell r="U12">
            <v>0.20290964777947931</v>
          </cell>
          <cell r="W12">
            <v>36</v>
          </cell>
          <cell r="X12">
            <v>2.1569802276812461E-2</v>
          </cell>
          <cell r="Y12">
            <v>966</v>
          </cell>
          <cell r="Z12">
            <v>0.57878969442780104</v>
          </cell>
          <cell r="AA12">
            <v>667</v>
          </cell>
          <cell r="AB12">
            <v>0.39964050329538647</v>
          </cell>
          <cell r="AC12">
            <v>1306</v>
          </cell>
        </row>
        <row r="13">
          <cell r="B13" t="str">
            <v>18:00-19:00</v>
          </cell>
          <cell r="D13">
            <v>1</v>
          </cell>
          <cell r="E13">
            <v>38</v>
          </cell>
          <cell r="F13">
            <v>6</v>
          </cell>
          <cell r="G13">
            <v>62</v>
          </cell>
          <cell r="H13">
            <v>4.7655649500384319E-2</v>
          </cell>
          <cell r="I13">
            <v>17</v>
          </cell>
          <cell r="K13">
            <v>13</v>
          </cell>
          <cell r="L13">
            <v>764</v>
          </cell>
          <cell r="M13">
            <v>547</v>
          </cell>
          <cell r="N13">
            <v>948</v>
          </cell>
          <cell r="O13">
            <v>0.72867025365103766</v>
          </cell>
          <cell r="Q13">
            <v>0</v>
          </cell>
          <cell r="R13">
            <v>179</v>
          </cell>
          <cell r="S13">
            <v>146</v>
          </cell>
          <cell r="T13">
            <v>291</v>
          </cell>
          <cell r="U13">
            <v>0.22367409684857803</v>
          </cell>
          <cell r="W13">
            <v>14</v>
          </cell>
          <cell r="X13">
            <v>8.2644628099173556E-3</v>
          </cell>
          <cell r="Y13">
            <v>981</v>
          </cell>
          <cell r="Z13">
            <v>0.57910271546635184</v>
          </cell>
          <cell r="AA13">
            <v>699</v>
          </cell>
          <cell r="AB13">
            <v>0.41263282172373084</v>
          </cell>
          <cell r="AC13">
            <v>1301</v>
          </cell>
        </row>
        <row r="15">
          <cell r="A15" t="str">
            <v>B</v>
          </cell>
          <cell r="B15" t="str">
            <v>07:00-08:00</v>
          </cell>
          <cell r="D15">
            <v>2</v>
          </cell>
          <cell r="E15">
            <v>60</v>
          </cell>
          <cell r="F15">
            <v>12</v>
          </cell>
          <cell r="G15">
            <v>101</v>
          </cell>
          <cell r="H15">
            <v>0.13911845730027547</v>
          </cell>
          <cell r="I15">
            <v>4</v>
          </cell>
          <cell r="K15">
            <v>11</v>
          </cell>
          <cell r="L15">
            <v>358</v>
          </cell>
          <cell r="M15">
            <v>801</v>
          </cell>
          <cell r="N15">
            <v>615</v>
          </cell>
          <cell r="O15">
            <v>0.84710743801652888</v>
          </cell>
          <cell r="Q15">
            <v>0</v>
          </cell>
          <cell r="R15">
            <v>6</v>
          </cell>
          <cell r="S15">
            <v>6</v>
          </cell>
          <cell r="T15">
            <v>10</v>
          </cell>
          <cell r="U15">
            <v>1.3774104683195593E-2</v>
          </cell>
          <cell r="W15">
            <v>13</v>
          </cell>
          <cell r="X15">
            <v>1.0350318471337579E-2</v>
          </cell>
          <cell r="Y15">
            <v>424</v>
          </cell>
          <cell r="Z15">
            <v>0.33757961783439489</v>
          </cell>
          <cell r="AA15">
            <v>819</v>
          </cell>
          <cell r="AB15">
            <v>0.65207006369426757</v>
          </cell>
          <cell r="AC15">
            <v>726</v>
          </cell>
        </row>
        <row r="16">
          <cell r="B16" t="str">
            <v>08:00-09:00</v>
          </cell>
          <cell r="D16">
            <v>2</v>
          </cell>
          <cell r="E16">
            <v>87</v>
          </cell>
          <cell r="F16">
            <v>16</v>
          </cell>
          <cell r="G16">
            <v>143</v>
          </cell>
          <cell r="H16">
            <v>0.21832061068702291</v>
          </cell>
          <cell r="I16">
            <v>0</v>
          </cell>
          <cell r="K16">
            <v>10</v>
          </cell>
          <cell r="L16">
            <v>327</v>
          </cell>
          <cell r="M16">
            <v>533</v>
          </cell>
          <cell r="N16">
            <v>502</v>
          </cell>
          <cell r="O16">
            <v>0.76641221374045798</v>
          </cell>
          <cell r="Q16">
            <v>1</v>
          </cell>
          <cell r="R16">
            <v>4</v>
          </cell>
          <cell r="S16">
            <v>8</v>
          </cell>
          <cell r="T16">
            <v>10</v>
          </cell>
          <cell r="U16">
            <v>1.5267175572519083E-2</v>
          </cell>
          <cell r="W16">
            <v>13</v>
          </cell>
          <cell r="X16">
            <v>1.3157894736842105E-2</v>
          </cell>
          <cell r="Y16">
            <v>418</v>
          </cell>
          <cell r="Z16">
            <v>0.42307692307692307</v>
          </cell>
          <cell r="AA16">
            <v>557</v>
          </cell>
          <cell r="AB16">
            <v>0.56376518218623484</v>
          </cell>
          <cell r="AC16">
            <v>655</v>
          </cell>
        </row>
        <row r="17">
          <cell r="B17" t="str">
            <v>17:00-18:00</v>
          </cell>
          <cell r="D17">
            <v>0</v>
          </cell>
          <cell r="E17">
            <v>87</v>
          </cell>
          <cell r="F17">
            <v>22</v>
          </cell>
          <cell r="G17">
            <v>142</v>
          </cell>
          <cell r="H17">
            <v>0.24482758620689654</v>
          </cell>
          <cell r="I17">
            <v>3</v>
          </cell>
          <cell r="K17">
            <v>9</v>
          </cell>
          <cell r="L17">
            <v>225</v>
          </cell>
          <cell r="M17">
            <v>504</v>
          </cell>
          <cell r="N17">
            <v>390</v>
          </cell>
          <cell r="O17">
            <v>0.67241379310344829</v>
          </cell>
          <cell r="Q17">
            <v>0</v>
          </cell>
          <cell r="R17">
            <v>34</v>
          </cell>
          <cell r="S17">
            <v>9</v>
          </cell>
          <cell r="T17">
            <v>48</v>
          </cell>
          <cell r="U17">
            <v>8.2758620689655171E-2</v>
          </cell>
          <cell r="W17">
            <v>9</v>
          </cell>
          <cell r="X17">
            <v>1.0112359550561797E-2</v>
          </cell>
          <cell r="Y17">
            <v>346</v>
          </cell>
          <cell r="Z17">
            <v>0.38876404494382022</v>
          </cell>
          <cell r="AA17">
            <v>535</v>
          </cell>
          <cell r="AB17">
            <v>0.601123595505618</v>
          </cell>
          <cell r="AC17">
            <v>580</v>
          </cell>
        </row>
        <row r="18">
          <cell r="B18" t="str">
            <v>18:00-19:00</v>
          </cell>
          <cell r="D18">
            <v>2</v>
          </cell>
          <cell r="E18">
            <v>82</v>
          </cell>
          <cell r="F18">
            <v>22</v>
          </cell>
          <cell r="G18">
            <v>139</v>
          </cell>
          <cell r="H18">
            <v>0.19971264367816091</v>
          </cell>
          <cell r="I18">
            <v>2</v>
          </cell>
          <cell r="K18">
            <v>6</v>
          </cell>
          <cell r="L18">
            <v>255</v>
          </cell>
          <cell r="M18">
            <v>773</v>
          </cell>
          <cell r="N18">
            <v>496</v>
          </cell>
          <cell r="O18">
            <v>0.71264367816091956</v>
          </cell>
          <cell r="Q18">
            <v>0</v>
          </cell>
          <cell r="R18">
            <v>42</v>
          </cell>
          <cell r="S18">
            <v>17</v>
          </cell>
          <cell r="T18">
            <v>61</v>
          </cell>
          <cell r="U18">
            <v>8.7643678160919544E-2</v>
          </cell>
          <cell r="W18">
            <v>8</v>
          </cell>
          <cell r="X18">
            <v>6.672226855713094E-3</v>
          </cell>
          <cell r="Y18">
            <v>379</v>
          </cell>
          <cell r="Z18">
            <v>0.31609674728940784</v>
          </cell>
          <cell r="AA18">
            <v>812</v>
          </cell>
          <cell r="AB18">
            <v>0.67723102585487904</v>
          </cell>
          <cell r="AC18">
            <v>696</v>
          </cell>
        </row>
        <row r="20">
          <cell r="A20" t="str">
            <v>C</v>
          </cell>
          <cell r="B20" t="str">
            <v>07:00-08:00</v>
          </cell>
          <cell r="D20">
            <v>13</v>
          </cell>
          <cell r="E20">
            <v>469</v>
          </cell>
          <cell r="F20">
            <v>252</v>
          </cell>
          <cell r="G20">
            <v>859</v>
          </cell>
          <cell r="H20">
            <v>0.38314005352363961</v>
          </cell>
          <cell r="I20">
            <v>570</v>
          </cell>
          <cell r="K20">
            <v>29</v>
          </cell>
          <cell r="L20">
            <v>861</v>
          </cell>
          <cell r="M20">
            <v>1353</v>
          </cell>
          <cell r="N20">
            <v>1310</v>
          </cell>
          <cell r="O20">
            <v>0.584299732381802</v>
          </cell>
          <cell r="Q20">
            <v>0</v>
          </cell>
          <cell r="R20">
            <v>47</v>
          </cell>
          <cell r="S20">
            <v>30</v>
          </cell>
          <cell r="T20">
            <v>73</v>
          </cell>
          <cell r="U20">
            <v>3.2560214094558428E-2</v>
          </cell>
          <cell r="W20">
            <v>42</v>
          </cell>
          <cell r="X20">
            <v>1.37524557956778E-2</v>
          </cell>
          <cell r="Y20">
            <v>1377</v>
          </cell>
          <cell r="Z20">
            <v>0.45088408644400785</v>
          </cell>
          <cell r="AA20">
            <v>1635</v>
          </cell>
          <cell r="AB20">
            <v>0.53536345776031435</v>
          </cell>
          <cell r="AC20">
            <v>2242</v>
          </cell>
        </row>
        <row r="21">
          <cell r="B21" t="str">
            <v>08:00-09:00</v>
          </cell>
          <cell r="D21">
            <v>10</v>
          </cell>
          <cell r="E21">
            <v>498</v>
          </cell>
          <cell r="F21">
            <v>117</v>
          </cell>
          <cell r="G21">
            <v>829</v>
          </cell>
          <cell r="H21">
            <v>0.4172118772018118</v>
          </cell>
          <cell r="I21">
            <v>184</v>
          </cell>
          <cell r="K21">
            <v>29</v>
          </cell>
          <cell r="L21">
            <v>773</v>
          </cell>
          <cell r="M21">
            <v>888</v>
          </cell>
          <cell r="N21">
            <v>1083</v>
          </cell>
          <cell r="O21">
            <v>0.54504277805737289</v>
          </cell>
          <cell r="Q21">
            <v>1</v>
          </cell>
          <cell r="R21">
            <v>49</v>
          </cell>
          <cell r="S21">
            <v>23</v>
          </cell>
          <cell r="T21">
            <v>75</v>
          </cell>
          <cell r="U21">
            <v>3.7745344740815298E-2</v>
          </cell>
          <cell r="W21">
            <v>40</v>
          </cell>
          <cell r="X21">
            <v>1.675041876046901E-2</v>
          </cell>
          <cell r="Y21">
            <v>1320</v>
          </cell>
          <cell r="Z21">
            <v>0.55276381909547734</v>
          </cell>
          <cell r="AA21">
            <v>1028</v>
          </cell>
          <cell r="AB21">
            <v>0.4304857621440536</v>
          </cell>
          <cell r="AC21">
            <v>1987</v>
          </cell>
        </row>
        <row r="22">
          <cell r="B22" t="str">
            <v>17:00-18:00</v>
          </cell>
          <cell r="D22">
            <v>8</v>
          </cell>
          <cell r="E22">
            <v>286</v>
          </cell>
          <cell r="F22">
            <v>40</v>
          </cell>
          <cell r="G22">
            <v>467</v>
          </cell>
          <cell r="H22">
            <v>0.23538306451612903</v>
          </cell>
          <cell r="I22">
            <v>175</v>
          </cell>
          <cell r="K22">
            <v>29</v>
          </cell>
          <cell r="L22">
            <v>975</v>
          </cell>
          <cell r="M22">
            <v>1097</v>
          </cell>
          <cell r="N22">
            <v>1348</v>
          </cell>
          <cell r="O22">
            <v>0.67943548387096775</v>
          </cell>
          <cell r="Q22">
            <v>1</v>
          </cell>
          <cell r="R22">
            <v>112</v>
          </cell>
          <cell r="S22">
            <v>53</v>
          </cell>
          <cell r="T22">
            <v>169</v>
          </cell>
          <cell r="U22">
            <v>8.518145161290322E-2</v>
          </cell>
          <cell r="W22">
            <v>38</v>
          </cell>
          <cell r="X22">
            <v>1.4609765474817378E-2</v>
          </cell>
          <cell r="Y22">
            <v>1373</v>
          </cell>
          <cell r="Z22">
            <v>0.52787389465590162</v>
          </cell>
          <cell r="AA22">
            <v>1190</v>
          </cell>
          <cell r="AB22">
            <v>0.45751633986928103</v>
          </cell>
          <cell r="AC22">
            <v>1984</v>
          </cell>
        </row>
        <row r="23">
          <cell r="B23" t="str">
            <v>18:00-19:00</v>
          </cell>
          <cell r="D23">
            <v>15</v>
          </cell>
          <cell r="E23">
            <v>268</v>
          </cell>
          <cell r="F23">
            <v>50</v>
          </cell>
          <cell r="G23">
            <v>462</v>
          </cell>
          <cell r="H23">
            <v>0.20886075949367089</v>
          </cell>
          <cell r="I23">
            <v>226</v>
          </cell>
          <cell r="K23">
            <v>14</v>
          </cell>
          <cell r="L23">
            <v>1191</v>
          </cell>
          <cell r="M23">
            <v>1105</v>
          </cell>
          <cell r="N23">
            <v>1544</v>
          </cell>
          <cell r="O23">
            <v>0.69801084990958406</v>
          </cell>
          <cell r="Q23">
            <v>2</v>
          </cell>
          <cell r="R23">
            <v>144</v>
          </cell>
          <cell r="S23">
            <v>38</v>
          </cell>
          <cell r="T23">
            <v>206</v>
          </cell>
          <cell r="U23">
            <v>9.3128390596745034E-2</v>
          </cell>
          <cell r="W23">
            <v>31</v>
          </cell>
          <cell r="X23">
            <v>1.0965688008489564E-2</v>
          </cell>
          <cell r="Y23">
            <v>1603</v>
          </cell>
          <cell r="Z23">
            <v>0.56703218960028301</v>
          </cell>
          <cell r="AA23">
            <v>1193</v>
          </cell>
          <cell r="AB23">
            <v>0.42200212239122747</v>
          </cell>
          <cell r="AC23">
            <v>2212</v>
          </cell>
        </row>
        <row r="25">
          <cell r="A25" t="str">
            <v>D</v>
          </cell>
          <cell r="B25" t="str">
            <v>07:00-08:00</v>
          </cell>
          <cell r="D25">
            <v>1</v>
          </cell>
          <cell r="E25">
            <v>72</v>
          </cell>
          <cell r="F25">
            <v>29</v>
          </cell>
          <cell r="G25">
            <v>125</v>
          </cell>
          <cell r="H25">
            <v>0.10032102728731943</v>
          </cell>
          <cell r="I25">
            <v>7</v>
          </cell>
          <cell r="K25">
            <v>9</v>
          </cell>
          <cell r="L25">
            <v>238</v>
          </cell>
          <cell r="M25">
            <v>359</v>
          </cell>
          <cell r="N25">
            <v>359</v>
          </cell>
          <cell r="O25">
            <v>0.2881219903691814</v>
          </cell>
          <cell r="Q25">
            <v>13</v>
          </cell>
          <cell r="R25">
            <v>448</v>
          </cell>
          <cell r="S25">
            <v>383</v>
          </cell>
          <cell r="T25">
            <v>762</v>
          </cell>
          <cell r="U25">
            <v>0.6115569823434992</v>
          </cell>
          <cell r="W25">
            <v>23</v>
          </cell>
          <cell r="X25">
            <v>1.4819587628865979E-2</v>
          </cell>
          <cell r="Y25">
            <v>758</v>
          </cell>
          <cell r="Z25">
            <v>0.48840206185567009</v>
          </cell>
          <cell r="AA25">
            <v>771</v>
          </cell>
          <cell r="AB25">
            <v>0.49677835051546393</v>
          </cell>
          <cell r="AC25">
            <v>1246</v>
          </cell>
        </row>
        <row r="26">
          <cell r="B26" t="str">
            <v>08:00-09:00</v>
          </cell>
          <cell r="D26">
            <v>0</v>
          </cell>
          <cell r="E26">
            <v>146</v>
          </cell>
          <cell r="F26">
            <v>34</v>
          </cell>
          <cell r="G26">
            <v>236</v>
          </cell>
          <cell r="H26">
            <v>0.16821097647897362</v>
          </cell>
          <cell r="I26">
            <v>9</v>
          </cell>
          <cell r="K26">
            <v>7</v>
          </cell>
          <cell r="L26">
            <v>245</v>
          </cell>
          <cell r="M26">
            <v>426</v>
          </cell>
          <cell r="N26">
            <v>383</v>
          </cell>
          <cell r="O26">
            <v>0.2729864575908767</v>
          </cell>
          <cell r="Q26">
            <v>5</v>
          </cell>
          <cell r="R26">
            <v>497</v>
          </cell>
          <cell r="S26">
            <v>320</v>
          </cell>
          <cell r="T26">
            <v>784</v>
          </cell>
          <cell r="U26">
            <v>0.55880256593014965</v>
          </cell>
          <cell r="W26">
            <v>12</v>
          </cell>
          <cell r="X26">
            <v>7.1428571428571426E-3</v>
          </cell>
          <cell r="Y26">
            <v>888</v>
          </cell>
          <cell r="Z26">
            <v>0.52857142857142858</v>
          </cell>
          <cell r="AA26">
            <v>780</v>
          </cell>
          <cell r="AB26">
            <v>0.4642857142857143</v>
          </cell>
          <cell r="AC26">
            <v>1403</v>
          </cell>
        </row>
        <row r="27">
          <cell r="B27" t="str">
            <v>17:00-18:00</v>
          </cell>
          <cell r="D27">
            <v>0</v>
          </cell>
          <cell r="E27">
            <v>199</v>
          </cell>
          <cell r="F27">
            <v>84</v>
          </cell>
          <cell r="G27">
            <v>341</v>
          </cell>
          <cell r="H27">
            <v>0.17380224260958205</v>
          </cell>
          <cell r="I27">
            <v>14</v>
          </cell>
          <cell r="K27">
            <v>10</v>
          </cell>
          <cell r="L27">
            <v>364</v>
          </cell>
          <cell r="M27">
            <v>691</v>
          </cell>
          <cell r="N27">
            <v>586</v>
          </cell>
          <cell r="O27">
            <v>0.29867482161060144</v>
          </cell>
          <cell r="Q27">
            <v>24</v>
          </cell>
          <cell r="R27">
            <v>605</v>
          </cell>
          <cell r="S27">
            <v>500</v>
          </cell>
          <cell r="T27">
            <v>1035</v>
          </cell>
          <cell r="U27">
            <v>0.52752293577981646</v>
          </cell>
          <cell r="W27">
            <v>34</v>
          </cell>
          <cell r="X27">
            <v>1.3726281792490917E-2</v>
          </cell>
          <cell r="Y27">
            <v>1168</v>
          </cell>
          <cell r="Z27">
            <v>0.47153815098909974</v>
          </cell>
          <cell r="AA27">
            <v>1275</v>
          </cell>
          <cell r="AB27">
            <v>0.51473556721840941</v>
          </cell>
          <cell r="AC27">
            <v>1962</v>
          </cell>
        </row>
        <row r="28">
          <cell r="B28" t="str">
            <v>18:00-19:00</v>
          </cell>
          <cell r="D28">
            <v>0</v>
          </cell>
          <cell r="E28">
            <v>188</v>
          </cell>
          <cell r="F28">
            <v>73</v>
          </cell>
          <cell r="G28">
            <v>319</v>
          </cell>
          <cell r="H28">
            <v>0.16258919469928645</v>
          </cell>
          <cell r="I28">
            <v>10</v>
          </cell>
          <cell r="K28">
            <v>12</v>
          </cell>
          <cell r="L28">
            <v>403</v>
          </cell>
          <cell r="M28">
            <v>670</v>
          </cell>
          <cell r="N28">
            <v>622</v>
          </cell>
          <cell r="O28">
            <v>0.31702344546381245</v>
          </cell>
          <cell r="Q28">
            <v>8</v>
          </cell>
          <cell r="R28">
            <v>679</v>
          </cell>
          <cell r="S28">
            <v>306</v>
          </cell>
          <cell r="T28">
            <v>1021</v>
          </cell>
          <cell r="U28">
            <v>0.5203873598369011</v>
          </cell>
          <cell r="W28">
            <v>20</v>
          </cell>
          <cell r="X28">
            <v>8.5506626763574185E-3</v>
          </cell>
          <cell r="Y28">
            <v>1270</v>
          </cell>
          <cell r="Z28">
            <v>0.54296707994869597</v>
          </cell>
          <cell r="AA28">
            <v>1049</v>
          </cell>
          <cell r="AB28">
            <v>0.44848225737494657</v>
          </cell>
          <cell r="AC28">
            <v>1962</v>
          </cell>
        </row>
        <row r="30">
          <cell r="A30" t="str">
            <v>合計</v>
          </cell>
          <cell r="B30" t="str">
            <v>07:00-08:00</v>
          </cell>
          <cell r="D30">
            <v>16</v>
          </cell>
          <cell r="E30">
            <v>609</v>
          </cell>
          <cell r="F30">
            <v>294</v>
          </cell>
          <cell r="G30">
            <v>1098</v>
          </cell>
          <cell r="H30">
            <v>0.18187841643200264</v>
          </cell>
          <cell r="I30">
            <v>582</v>
          </cell>
          <cell r="K30">
            <v>74</v>
          </cell>
          <cell r="L30">
            <v>2440</v>
          </cell>
          <cell r="M30">
            <v>3376</v>
          </cell>
          <cell r="N30">
            <v>3563</v>
          </cell>
          <cell r="O30">
            <v>0.59019380486996853</v>
          </cell>
          <cell r="Q30">
            <v>14</v>
          </cell>
          <cell r="R30">
            <v>858</v>
          </cell>
          <cell r="S30">
            <v>580</v>
          </cell>
          <cell r="T30">
            <v>1376</v>
          </cell>
          <cell r="U30">
            <v>0.22792777869802883</v>
          </cell>
          <cell r="W30">
            <v>104</v>
          </cell>
          <cell r="X30">
            <v>1.2589274906185692E-2</v>
          </cell>
          <cell r="Y30">
            <v>3907</v>
          </cell>
          <cell r="Z30">
            <v>0.47294516402372594</v>
          </cell>
          <cell r="AA30">
            <v>4250</v>
          </cell>
          <cell r="AB30">
            <v>0.51446556107008834</v>
          </cell>
          <cell r="AC30">
            <v>6037</v>
          </cell>
        </row>
        <row r="31">
          <cell r="B31" t="str">
            <v>08:00-09:00</v>
          </cell>
          <cell r="D31">
            <v>12</v>
          </cell>
          <cell r="E31">
            <v>752</v>
          </cell>
          <cell r="F31">
            <v>171</v>
          </cell>
          <cell r="G31">
            <v>1242</v>
          </cell>
          <cell r="H31">
            <v>0.23008521674694332</v>
          </cell>
          <cell r="I31">
            <v>196</v>
          </cell>
          <cell r="K31">
            <v>69</v>
          </cell>
          <cell r="L31">
            <v>2150</v>
          </cell>
          <cell r="M31">
            <v>2316</v>
          </cell>
          <cell r="N31">
            <v>2948</v>
          </cell>
          <cell r="O31">
            <v>0.5461281956280104</v>
          </cell>
          <cell r="Q31">
            <v>10</v>
          </cell>
          <cell r="R31">
            <v>769</v>
          </cell>
          <cell r="S31">
            <v>471</v>
          </cell>
          <cell r="T31">
            <v>1208</v>
          </cell>
          <cell r="U31">
            <v>0.2237865876250463</v>
          </cell>
          <cell r="W31">
            <v>91</v>
          </cell>
          <cell r="X31">
            <v>1.3541666666666667E-2</v>
          </cell>
          <cell r="Y31">
            <v>3671</v>
          </cell>
          <cell r="Z31">
            <v>0.54627976190476191</v>
          </cell>
          <cell r="AA31">
            <v>2958</v>
          </cell>
          <cell r="AB31">
            <v>0.44017857142857142</v>
          </cell>
          <cell r="AC31">
            <v>5398</v>
          </cell>
        </row>
        <row r="32">
          <cell r="B32" t="str">
            <v>17:00-18:00</v>
          </cell>
          <cell r="D32">
            <v>8</v>
          </cell>
          <cell r="E32">
            <v>618</v>
          </cell>
          <cell r="F32">
            <v>150</v>
          </cell>
          <cell r="G32">
            <v>1021</v>
          </cell>
          <cell r="H32">
            <v>0.17506858710562415</v>
          </cell>
          <cell r="I32">
            <v>211</v>
          </cell>
          <cell r="K32">
            <v>84</v>
          </cell>
          <cell r="L32">
            <v>2314</v>
          </cell>
          <cell r="M32">
            <v>2845</v>
          </cell>
          <cell r="N32">
            <v>3294</v>
          </cell>
          <cell r="O32">
            <v>0.56481481481481477</v>
          </cell>
          <cell r="Q32">
            <v>25</v>
          </cell>
          <cell r="R32">
            <v>921</v>
          </cell>
          <cell r="S32">
            <v>672</v>
          </cell>
          <cell r="T32">
            <v>1517</v>
          </cell>
          <cell r="U32">
            <v>0.26011659807956106</v>
          </cell>
          <cell r="W32">
            <v>117</v>
          </cell>
          <cell r="X32">
            <v>1.532015189210423E-2</v>
          </cell>
          <cell r="Y32">
            <v>3853</v>
          </cell>
          <cell r="Z32">
            <v>0.50451748068613333</v>
          </cell>
          <cell r="AA32">
            <v>3667</v>
          </cell>
          <cell r="AB32">
            <v>0.48016236742176249</v>
          </cell>
          <cell r="AC32">
            <v>5832</v>
          </cell>
        </row>
        <row r="33">
          <cell r="B33" t="str">
            <v>18:00-19:00</v>
          </cell>
          <cell r="D33">
            <v>18</v>
          </cell>
          <cell r="E33">
            <v>576</v>
          </cell>
          <cell r="F33">
            <v>151</v>
          </cell>
          <cell r="G33">
            <v>982</v>
          </cell>
          <cell r="H33">
            <v>0.15913142116350673</v>
          </cell>
          <cell r="I33">
            <v>255</v>
          </cell>
          <cell r="K33">
            <v>45</v>
          </cell>
          <cell r="L33">
            <v>2613</v>
          </cell>
          <cell r="M33">
            <v>3095</v>
          </cell>
          <cell r="N33">
            <v>3610</v>
          </cell>
          <cell r="O33">
            <v>0.58499432830983633</v>
          </cell>
          <cell r="Q33">
            <v>10</v>
          </cell>
          <cell r="R33">
            <v>1044</v>
          </cell>
          <cell r="S33">
            <v>507</v>
          </cell>
          <cell r="T33">
            <v>1579</v>
          </cell>
          <cell r="U33">
            <v>0.25587425052665697</v>
          </cell>
          <cell r="W33">
            <v>73</v>
          </cell>
          <cell r="X33">
            <v>9.0581958059312573E-3</v>
          </cell>
          <cell r="Y33">
            <v>4233</v>
          </cell>
          <cell r="Z33">
            <v>0.52525127186995901</v>
          </cell>
          <cell r="AA33">
            <v>3753</v>
          </cell>
          <cell r="AB33">
            <v>0.46569053232410967</v>
          </cell>
          <cell r="AC33">
            <v>6171</v>
          </cell>
        </row>
        <row r="35">
          <cell r="A35" t="str">
            <v>A</v>
          </cell>
          <cell r="B35" t="str">
            <v>07:00-08:00</v>
          </cell>
          <cell r="D35">
            <v>0</v>
          </cell>
          <cell r="E35">
            <v>8</v>
          </cell>
          <cell r="F35">
            <v>1</v>
          </cell>
          <cell r="G35">
            <v>13</v>
          </cell>
          <cell r="H35">
            <v>7.131102578167855E-3</v>
          </cell>
          <cell r="I35">
            <v>1</v>
          </cell>
          <cell r="K35">
            <v>25</v>
          </cell>
          <cell r="L35">
            <v>983</v>
          </cell>
          <cell r="M35">
            <v>863</v>
          </cell>
          <cell r="N35">
            <v>1279</v>
          </cell>
          <cell r="O35">
            <v>0.70159078442128364</v>
          </cell>
          <cell r="Q35">
            <v>1</v>
          </cell>
          <cell r="R35">
            <v>357</v>
          </cell>
          <cell r="S35">
            <v>161</v>
          </cell>
          <cell r="T35">
            <v>531</v>
          </cell>
          <cell r="U35">
            <v>0.29127811300054857</v>
          </cell>
          <cell r="W35">
            <v>26</v>
          </cell>
          <cell r="X35">
            <v>1.0837849103793247E-2</v>
          </cell>
          <cell r="Y35">
            <v>1348</v>
          </cell>
          <cell r="Z35">
            <v>0.56190079199666532</v>
          </cell>
          <cell r="AA35">
            <v>1025</v>
          </cell>
          <cell r="AB35">
            <v>0.42726135889954148</v>
          </cell>
          <cell r="AC35">
            <v>1823</v>
          </cell>
          <cell r="AD35">
            <v>0.94620976116303224</v>
          </cell>
        </row>
        <row r="36">
          <cell r="A36" t="str">
            <v>B</v>
          </cell>
          <cell r="D36">
            <v>2</v>
          </cell>
          <cell r="E36">
            <v>60</v>
          </cell>
          <cell r="F36">
            <v>12</v>
          </cell>
          <cell r="G36">
            <v>101</v>
          </cell>
          <cell r="H36">
            <v>0.13911845730027547</v>
          </cell>
          <cell r="I36">
            <v>4</v>
          </cell>
          <cell r="K36">
            <v>11</v>
          </cell>
          <cell r="L36">
            <v>358</v>
          </cell>
          <cell r="M36">
            <v>801</v>
          </cell>
          <cell r="N36">
            <v>615</v>
          </cell>
          <cell r="O36">
            <v>0.84710743801652888</v>
          </cell>
          <cell r="Q36">
            <v>0</v>
          </cell>
          <cell r="R36">
            <v>6</v>
          </cell>
          <cell r="S36">
            <v>6</v>
          </cell>
          <cell r="T36">
            <v>10</v>
          </cell>
          <cell r="U36">
            <v>1.3774104683195593E-2</v>
          </cell>
          <cell r="W36">
            <v>13</v>
          </cell>
          <cell r="X36">
            <v>1.0350318471337579E-2</v>
          </cell>
          <cell r="Y36">
            <v>424</v>
          </cell>
          <cell r="Z36">
            <v>0.33757961783439489</v>
          </cell>
          <cell r="AA36">
            <v>819</v>
          </cell>
          <cell r="AB36">
            <v>0.65207006369426757</v>
          </cell>
          <cell r="AC36">
            <v>726</v>
          </cell>
          <cell r="AD36">
            <v>0.84215413184772525</v>
          </cell>
        </row>
        <row r="37">
          <cell r="A37" t="str">
            <v>C</v>
          </cell>
          <cell r="D37">
            <v>13</v>
          </cell>
          <cell r="E37">
            <v>469</v>
          </cell>
          <cell r="F37">
            <v>252</v>
          </cell>
          <cell r="G37">
            <v>859</v>
          </cell>
          <cell r="H37">
            <v>0.38314005352363961</v>
          </cell>
          <cell r="I37">
            <v>570</v>
          </cell>
          <cell r="K37">
            <v>29</v>
          </cell>
          <cell r="L37">
            <v>861</v>
          </cell>
          <cell r="M37">
            <v>1353</v>
          </cell>
          <cell r="N37">
            <v>1310</v>
          </cell>
          <cell r="O37">
            <v>0.584299732381802</v>
          </cell>
          <cell r="Q37">
            <v>0</v>
          </cell>
          <cell r="R37">
            <v>47</v>
          </cell>
          <cell r="S37">
            <v>30</v>
          </cell>
          <cell r="T37">
            <v>73</v>
          </cell>
          <cell r="U37">
            <v>3.2560214094558428E-2</v>
          </cell>
          <cell r="W37">
            <v>42</v>
          </cell>
          <cell r="X37">
            <v>1.37524557956778E-2</v>
          </cell>
          <cell r="Y37">
            <v>1377</v>
          </cell>
          <cell r="Z37">
            <v>0.45088408644400785</v>
          </cell>
          <cell r="AA37">
            <v>1635</v>
          </cell>
          <cell r="AB37">
            <v>0.53536345776031435</v>
          </cell>
          <cell r="AC37">
            <v>2242</v>
          </cell>
          <cell r="AD37">
            <v>0.83790346682606087</v>
          </cell>
        </row>
        <row r="38">
          <cell r="A38" t="str">
            <v>D</v>
          </cell>
          <cell r="D38">
            <v>1</v>
          </cell>
          <cell r="E38">
            <v>72</v>
          </cell>
          <cell r="F38">
            <v>29</v>
          </cell>
          <cell r="G38">
            <v>125</v>
          </cell>
          <cell r="H38">
            <v>0.10032102728731943</v>
          </cell>
          <cell r="I38">
            <v>7</v>
          </cell>
          <cell r="K38">
            <v>9</v>
          </cell>
          <cell r="L38">
            <v>238</v>
          </cell>
          <cell r="M38">
            <v>359</v>
          </cell>
          <cell r="N38">
            <v>359</v>
          </cell>
          <cell r="O38">
            <v>0.2881219903691814</v>
          </cell>
          <cell r="Q38">
            <v>13</v>
          </cell>
          <cell r="R38">
            <v>448</v>
          </cell>
          <cell r="S38">
            <v>383</v>
          </cell>
          <cell r="T38">
            <v>762</v>
          </cell>
          <cell r="U38">
            <v>0.6115569823434992</v>
          </cell>
          <cell r="W38">
            <v>23</v>
          </cell>
          <cell r="X38">
            <v>1.4819587628865979E-2</v>
          </cell>
          <cell r="Y38">
            <v>758</v>
          </cell>
          <cell r="Z38">
            <v>0.48840206185567009</v>
          </cell>
          <cell r="AA38">
            <v>771</v>
          </cell>
          <cell r="AB38">
            <v>0.49677835051546393</v>
          </cell>
          <cell r="AC38">
            <v>1246</v>
          </cell>
          <cell r="AD38">
            <v>0.90575916230366493</v>
          </cell>
        </row>
        <row r="40">
          <cell r="A40" t="str">
            <v>A</v>
          </cell>
          <cell r="B40" t="str">
            <v>18:00-19:00</v>
          </cell>
          <cell r="D40">
            <v>1</v>
          </cell>
          <cell r="E40">
            <v>38</v>
          </cell>
          <cell r="F40">
            <v>6</v>
          </cell>
          <cell r="G40">
            <v>62</v>
          </cell>
          <cell r="H40">
            <v>4.7655649500384319E-2</v>
          </cell>
          <cell r="I40">
            <v>17</v>
          </cell>
          <cell r="K40">
            <v>13</v>
          </cell>
          <cell r="L40">
            <v>764</v>
          </cell>
          <cell r="M40">
            <v>547</v>
          </cell>
          <cell r="N40">
            <v>948</v>
          </cell>
          <cell r="O40">
            <v>0.72867025365103766</v>
          </cell>
          <cell r="Q40">
            <v>0</v>
          </cell>
          <cell r="R40">
            <v>179</v>
          </cell>
          <cell r="S40">
            <v>146</v>
          </cell>
          <cell r="T40">
            <v>291</v>
          </cell>
          <cell r="U40">
            <v>0.22367409684857803</v>
          </cell>
          <cell r="W40">
            <v>14</v>
          </cell>
          <cell r="X40">
            <v>8.2644628099173556E-3</v>
          </cell>
          <cell r="Y40">
            <v>981</v>
          </cell>
          <cell r="Z40">
            <v>0.57910271546635184</v>
          </cell>
          <cell r="AA40">
            <v>699</v>
          </cell>
          <cell r="AB40">
            <v>0.41263282172373084</v>
          </cell>
          <cell r="AC40">
            <v>1301</v>
          </cell>
          <cell r="AD40">
            <v>0.91568130630630629</v>
          </cell>
        </row>
        <row r="41">
          <cell r="A41" t="str">
            <v>B</v>
          </cell>
          <cell r="D41">
            <v>2</v>
          </cell>
          <cell r="E41">
            <v>82</v>
          </cell>
          <cell r="F41">
            <v>22</v>
          </cell>
          <cell r="G41">
            <v>139</v>
          </cell>
          <cell r="H41">
            <v>0.19971264367816091</v>
          </cell>
          <cell r="I41">
            <v>2</v>
          </cell>
          <cell r="K41">
            <v>6</v>
          </cell>
          <cell r="L41">
            <v>255</v>
          </cell>
          <cell r="M41">
            <v>773</v>
          </cell>
          <cell r="N41">
            <v>496</v>
          </cell>
          <cell r="O41">
            <v>0.71264367816091956</v>
          </cell>
          <cell r="Q41">
            <v>0</v>
          </cell>
          <cell r="R41">
            <v>42</v>
          </cell>
          <cell r="S41">
            <v>17</v>
          </cell>
          <cell r="T41">
            <v>61</v>
          </cell>
          <cell r="U41">
            <v>8.7643678160919544E-2</v>
          </cell>
          <cell r="W41">
            <v>8</v>
          </cell>
          <cell r="X41">
            <v>6.672226855713094E-3</v>
          </cell>
          <cell r="Y41">
            <v>379</v>
          </cell>
          <cell r="Z41">
            <v>0.31609674728940784</v>
          </cell>
          <cell r="AA41">
            <v>812</v>
          </cell>
          <cell r="AB41">
            <v>0.67723102585487904</v>
          </cell>
          <cell r="AC41">
            <v>696</v>
          </cell>
          <cell r="AD41">
            <v>0.9047061882475298</v>
          </cell>
        </row>
        <row r="42">
          <cell r="A42" t="str">
            <v>C</v>
          </cell>
          <cell r="D42">
            <v>15</v>
          </cell>
          <cell r="E42">
            <v>268</v>
          </cell>
          <cell r="F42">
            <v>50</v>
          </cell>
          <cell r="G42">
            <v>462</v>
          </cell>
          <cell r="H42">
            <v>0.20886075949367089</v>
          </cell>
          <cell r="I42">
            <v>226</v>
          </cell>
          <cell r="K42">
            <v>14</v>
          </cell>
          <cell r="L42">
            <v>1191</v>
          </cell>
          <cell r="M42">
            <v>1105</v>
          </cell>
          <cell r="N42">
            <v>1544</v>
          </cell>
          <cell r="O42">
            <v>0.69801084990958406</v>
          </cell>
          <cell r="Q42">
            <v>2</v>
          </cell>
          <cell r="R42">
            <v>144</v>
          </cell>
          <cell r="S42">
            <v>38</v>
          </cell>
          <cell r="T42">
            <v>206</v>
          </cell>
          <cell r="U42">
            <v>9.3128390596745034E-2</v>
          </cell>
          <cell r="W42">
            <v>31</v>
          </cell>
          <cell r="X42">
            <v>1.0965688008489564E-2</v>
          </cell>
          <cell r="Y42">
            <v>1603</v>
          </cell>
          <cell r="Z42">
            <v>0.56703218960028301</v>
          </cell>
          <cell r="AA42">
            <v>1193</v>
          </cell>
          <cell r="AB42">
            <v>0.42200212239122747</v>
          </cell>
          <cell r="AC42">
            <v>2212</v>
          </cell>
          <cell r="AD42">
            <v>0.89559371456342129</v>
          </cell>
        </row>
        <row r="43">
          <cell r="A43" t="str">
            <v>D</v>
          </cell>
          <cell r="D43">
            <v>0</v>
          </cell>
          <cell r="E43">
            <v>188</v>
          </cell>
          <cell r="F43">
            <v>73</v>
          </cell>
          <cell r="G43">
            <v>319</v>
          </cell>
          <cell r="H43">
            <v>0.16258919469928645</v>
          </cell>
          <cell r="I43">
            <v>10</v>
          </cell>
          <cell r="K43">
            <v>12</v>
          </cell>
          <cell r="L43">
            <v>403</v>
          </cell>
          <cell r="M43">
            <v>670</v>
          </cell>
          <cell r="N43">
            <v>622</v>
          </cell>
          <cell r="O43">
            <v>0.31702344546381245</v>
          </cell>
          <cell r="Q43">
            <v>8</v>
          </cell>
          <cell r="R43">
            <v>679</v>
          </cell>
          <cell r="S43">
            <v>306</v>
          </cell>
          <cell r="T43">
            <v>1021</v>
          </cell>
          <cell r="U43">
            <v>0.5203873598369011</v>
          </cell>
          <cell r="W43">
            <v>20</v>
          </cell>
          <cell r="X43">
            <v>8.5506626763574185E-3</v>
          </cell>
          <cell r="Y43">
            <v>1270</v>
          </cell>
          <cell r="Z43">
            <v>0.54296707994869597</v>
          </cell>
          <cell r="AA43">
            <v>1049</v>
          </cell>
          <cell r="AB43">
            <v>0.44848225737494657</v>
          </cell>
          <cell r="AC43">
            <v>1962</v>
          </cell>
          <cell r="AD43">
            <v>0.93498570066730213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圖"/>
      <sheetName val="集賢"/>
      <sheetName val="基本"/>
      <sheetName val="累計"/>
      <sheetName val="平日"/>
      <sheetName val="基本時制"/>
      <sheetName val="世曦"/>
      <sheetName val="亂數"/>
      <sheetName val="計算"/>
    </sheetNames>
    <sheetDataSet>
      <sheetData sheetId="0"/>
      <sheetData sheetId="1"/>
      <sheetData sheetId="2">
        <row r="34">
          <cell r="A34">
            <v>0</v>
          </cell>
          <cell r="B34">
            <v>0</v>
          </cell>
          <cell r="E34">
            <v>0</v>
          </cell>
          <cell r="F34">
            <v>0</v>
          </cell>
          <cell r="I34">
            <v>0</v>
          </cell>
          <cell r="J34">
            <v>0</v>
          </cell>
        </row>
        <row r="43">
          <cell r="A43">
            <v>0</v>
          </cell>
          <cell r="B43">
            <v>0</v>
          </cell>
          <cell r="E43">
            <v>0</v>
          </cell>
          <cell r="F43">
            <v>0</v>
          </cell>
        </row>
      </sheetData>
      <sheetData sheetId="3"/>
      <sheetData sheetId="4"/>
      <sheetData sheetId="5">
        <row r="7">
          <cell r="G7">
            <v>-5</v>
          </cell>
          <cell r="H7">
            <v>3</v>
          </cell>
          <cell r="I7">
            <v>2</v>
          </cell>
          <cell r="K7">
            <v>-5</v>
          </cell>
          <cell r="L7">
            <v>3</v>
          </cell>
          <cell r="M7">
            <v>2</v>
          </cell>
        </row>
        <row r="9">
          <cell r="G9">
            <v>-5</v>
          </cell>
          <cell r="H9">
            <v>3</v>
          </cell>
          <cell r="I9">
            <v>2</v>
          </cell>
          <cell r="K9">
            <v>-5</v>
          </cell>
          <cell r="L9">
            <v>3</v>
          </cell>
          <cell r="M9">
            <v>2</v>
          </cell>
        </row>
      </sheetData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102"/>
  <sheetViews>
    <sheetView tabSelected="1" zoomScale="115" zoomScaleNormal="115" workbookViewId="0">
      <selection activeCell="H16" sqref="H16"/>
    </sheetView>
  </sheetViews>
  <sheetFormatPr baseColWidth="8" defaultRowHeight="16.5"/>
  <cols>
    <col width="10.75" customWidth="1" style="189" min="1" max="1"/>
    <col width="22.5" customWidth="1" style="189" min="2" max="2"/>
    <col width="12.125" customWidth="1" style="189" min="3" max="3"/>
    <col width="13.5" customWidth="1" style="189" min="14" max="14"/>
    <col width="42" customWidth="1" style="189" min="19" max="19"/>
    <col width="13.25" customWidth="1" style="189" min="30" max="30"/>
    <col width="5" customWidth="1" style="189" min="32" max="32"/>
    <col width="7.625" customWidth="1" style="189" min="33" max="33"/>
    <col width="4.5" customWidth="1" style="189" min="34" max="34"/>
    <col width="6.125" customWidth="1" style="189" min="35" max="35"/>
    <col width="12" customWidth="1" style="189" min="36" max="36"/>
    <col width="6.625" customWidth="1" style="189" min="37" max="37"/>
    <col width="3.25" customWidth="1" style="189" min="38" max="38"/>
    <col width="6.375" customWidth="1" style="189" min="39" max="39"/>
    <col width="3.625" customWidth="1" style="189" min="40" max="40"/>
  </cols>
  <sheetData>
    <row r="1" ht="16.5" customHeight="1" s="189">
      <c r="A1" s="190" t="inlineStr">
        <is>
          <t>道路名稱</t>
        </is>
      </c>
      <c r="B1" s="191" t="inlineStr">
        <is>
          <t>路段範圍</t>
        </is>
      </c>
      <c r="C1" s="192" t="inlineStr">
        <is>
          <t>方向</t>
        </is>
      </c>
      <c r="D1" s="193" t="inlineStr">
        <is>
          <t>道路容量
(PCPH)</t>
        </is>
      </c>
      <c r="E1" s="168" t="inlineStr">
        <is>
          <t>速限
(KPH)</t>
        </is>
      </c>
      <c r="F1" s="192" t="inlineStr">
        <is>
          <t>晨峰</t>
        </is>
      </c>
      <c r="G1" s="194" t="n"/>
      <c r="H1" s="194" t="n"/>
      <c r="I1" s="195" t="n"/>
      <c r="J1" s="168" t="inlineStr">
        <is>
          <t>昏峰</t>
        </is>
      </c>
      <c r="K1" s="194" t="n"/>
      <c r="L1" s="194" t="n"/>
      <c r="M1" s="195" t="n"/>
      <c r="P1" s="101" t="n"/>
      <c r="Q1" s="101" t="n"/>
      <c r="R1" s="101" t="n"/>
      <c r="S1" s="101" t="n"/>
      <c r="T1" s="101" t="n"/>
      <c r="U1" s="101" t="n"/>
      <c r="V1" s="101" t="n"/>
      <c r="W1" s="101" t="n"/>
      <c r="X1" s="101" t="n"/>
      <c r="Y1" s="101" t="n"/>
      <c r="Z1" s="101" t="n"/>
      <c r="AA1" s="101" t="n"/>
      <c r="AB1" s="101" t="n"/>
      <c r="AC1" s="101" t="n">
        <v>1</v>
      </c>
      <c r="AD1" s="101" t="n">
        <v>2</v>
      </c>
      <c r="AE1" s="101" t="n">
        <v>3</v>
      </c>
      <c r="AF1" s="101" t="n">
        <v>4</v>
      </c>
      <c r="AG1" s="101" t="n">
        <v>5</v>
      </c>
      <c r="AH1" s="101" t="n">
        <v>6</v>
      </c>
      <c r="AI1" s="101" t="n">
        <v>7</v>
      </c>
      <c r="AJ1" s="101" t="n">
        <v>8</v>
      </c>
      <c r="AK1" s="101" t="n">
        <v>9</v>
      </c>
      <c r="AL1" s="101" t="n">
        <v>10</v>
      </c>
      <c r="AM1" s="101" t="n">
        <v>11</v>
      </c>
      <c r="AN1" s="101" t="n">
        <v>12</v>
      </c>
      <c r="AO1" s="101" t="n">
        <v>13</v>
      </c>
      <c r="AP1" s="101" t="n">
        <v>14</v>
      </c>
      <c r="AQ1" s="101" t="n">
        <v>15</v>
      </c>
    </row>
    <row r="2" ht="28.5" customHeight="1" s="189">
      <c r="A2" s="196" t="n"/>
      <c r="B2" s="196" t="n"/>
      <c r="C2" s="196" t="n"/>
      <c r="D2" s="196" t="n"/>
      <c r="E2" s="196" t="n"/>
      <c r="F2" s="192" t="inlineStr">
        <is>
          <t>交通量
(PCPH)</t>
        </is>
      </c>
      <c r="G2" s="192" t="inlineStr">
        <is>
          <t>V/C</t>
        </is>
      </c>
      <c r="H2" s="97" t="inlineStr">
        <is>
          <t>速率(KPH)</t>
        </is>
      </c>
      <c r="I2" s="197" t="inlineStr">
        <is>
          <t>服務水準</t>
        </is>
      </c>
      <c r="J2" s="192" t="inlineStr">
        <is>
          <t>交通量
(PCPH)</t>
        </is>
      </c>
      <c r="K2" s="192" t="inlineStr">
        <is>
          <t>V/C</t>
        </is>
      </c>
      <c r="L2" s="97" t="inlineStr">
        <is>
          <t>速率(KPH)</t>
        </is>
      </c>
      <c r="M2" s="192" t="inlineStr">
        <is>
          <t>服務水準</t>
        </is>
      </c>
      <c r="N2" s="110" t="inlineStr">
        <is>
          <t>4車道開放路肩
道路容量</t>
        </is>
      </c>
      <c r="O2" s="106" t="inlineStr">
        <is>
          <t>車道數</t>
        </is>
      </c>
      <c r="P2" s="106" t="inlineStr">
        <is>
          <t>開放路肩</t>
        </is>
      </c>
      <c r="Q2" s="106" t="inlineStr">
        <is>
          <t>道路容量</t>
        </is>
      </c>
      <c r="R2" s="110" t="n"/>
      <c r="S2" s="106" t="inlineStr">
        <is>
          <t>開放路肩</t>
        </is>
      </c>
      <c r="T2" s="101" t="n"/>
      <c r="U2" s="101" t="n"/>
      <c r="V2" s="101" t="n"/>
      <c r="W2" s="101" t="n"/>
      <c r="X2" s="101" t="n"/>
      <c r="Y2" s="101" t="n"/>
      <c r="Z2" s="101" t="n"/>
      <c r="AA2" s="101" t="n"/>
      <c r="AB2" s="101" t="n"/>
      <c r="AC2" s="101" t="n"/>
      <c r="AD2" s="101" t="n"/>
    </row>
    <row r="3">
      <c r="A3" s="193" t="inlineStr">
        <is>
          <t>國道1號</t>
        </is>
      </c>
      <c r="B3" s="198" t="inlineStr">
        <is>
          <t>中壢服務區-機場系統</t>
        </is>
      </c>
      <c r="C3" s="192" t="inlineStr">
        <is>
          <t>往北</t>
        </is>
      </c>
      <c r="D3" s="199">
        <f>Q3*(O3+IF(P3="Y",1,0))+N3</f>
        <v/>
      </c>
      <c r="E3" s="199" t="n">
        <v>100</v>
      </c>
      <c r="F3" s="192" t="n">
        <v>6569.099999999999</v>
      </c>
      <c r="G3" s="200">
        <f>F3/D3</f>
        <v/>
      </c>
      <c r="H3" s="200" t="n">
        <v>77.23167516259448</v>
      </c>
      <c r="I3" s="100">
        <f>IF(G3&lt;=$U$4,"A",IF(G3&lt;=$U$5,"B",IF(G3&lt;=$U$6,"C",IF(G3&lt;=$U$7,"D",IF(G3&lt;=$U$8,"E","F")))))&amp;IF(H3/E3&gt;=$W$4,1,IF(H3/E3&gt;=$W$5,2,IF(H3/E3&gt;=$W$6,3,IF(H3/E3&gt;=$W$7,4,IF(H3/E3&gt;=$W$8,5,6)))))</f>
        <v/>
      </c>
      <c r="J3" s="192" t="n">
        <v>5587.199999999999</v>
      </c>
      <c r="K3" s="200">
        <f>J3/D3</f>
        <v/>
      </c>
      <c r="L3" s="200" t="n">
        <v>50.9169536930731</v>
      </c>
      <c r="M3" s="100">
        <f>IF(K3&lt;=$U$4,"A",IF(K3&lt;=$U$5,"B",IF(K3&lt;=$U$6,"C",IF(K3&lt;=$U$7,"D",IF(K3&lt;=$U$8,"E","F")))))&amp;IF(L3/E3&gt;=$W$4,1,IF(L3/E3&gt;=$W$5,2,IF(L3/E3&gt;=$W$6,3,IF(L3/E3&gt;=$W$7,4,IF(L3/E3&gt;=$W$8,5,6)))))</f>
        <v/>
      </c>
      <c r="N3" s="201" t="n"/>
      <c r="O3" s="201" t="n">
        <v>4</v>
      </c>
      <c r="P3" s="201" t="inlineStr">
        <is>
          <t>N</t>
        </is>
      </c>
      <c r="Q3" s="201">
        <f t="array" ref="Q3">OFFSET(INDIRECT(ADDRESS(MATCH(O3&amp;P3,$AB$1:$AB$56,0),COLUMN($AB$3))),MATCH($E3,$AC$3:$AC$12,-1),14)</f>
        <v/>
      </c>
      <c r="R3" s="202" t="inlineStr">
        <is>
          <t>01F0532N</t>
        </is>
      </c>
      <c r="S3" s="44" t="n"/>
      <c r="T3" s="4" t="inlineStr">
        <is>
          <t>服務水準</t>
        </is>
      </c>
      <c r="U3" s="4" t="inlineStr">
        <is>
          <t>流容比</t>
        </is>
      </c>
      <c r="V3" s="4" t="inlineStr">
        <is>
          <t>服務水準</t>
        </is>
      </c>
      <c r="W3" s="2" t="inlineStr">
        <is>
          <t>速率速限比值</t>
        </is>
      </c>
      <c r="X3" s="92" t="n"/>
      <c r="Y3" s="92" t="n"/>
      <c r="Z3" s="92" t="n"/>
      <c r="AA3" s="92" t="n"/>
      <c r="AB3" s="111" t="inlineStr">
        <is>
          <t>2N</t>
        </is>
      </c>
      <c r="AC3" s="111" t="n"/>
      <c r="AD3" s="19" t="inlineStr">
        <is>
          <t>2車道平坦路段之代表性流率與速率關係</t>
        </is>
      </c>
      <c r="AE3" s="19" t="n"/>
      <c r="AF3" s="112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13" t="n"/>
    </row>
    <row r="4">
      <c r="A4" s="203" t="n"/>
      <c r="B4" s="204" t="inlineStr">
        <is>
          <t>機場系統-中壢服務區</t>
        </is>
      </c>
      <c r="C4" s="205" t="inlineStr">
        <is>
          <t>往南</t>
        </is>
      </c>
      <c r="D4" s="206">
        <f>Q4*(O4+IF(P4="Y",1,0))+N4</f>
        <v/>
      </c>
      <c r="E4" s="206" t="n">
        <v>100</v>
      </c>
      <c r="F4" s="205" t="n">
        <v>6682.6</v>
      </c>
      <c r="G4" s="207">
        <f>F4/D4</f>
        <v/>
      </c>
      <c r="H4" s="207" t="n">
        <v>45.12359807736324</v>
      </c>
      <c r="I4" s="127">
        <f>IF(G4&lt;=$U$4,"A",IF(G4&lt;=$U$5,"B",IF(G4&lt;=$U$6,"C",IF(G4&lt;=$U$7,"D",IF(G4&lt;=$U$8,"E","F")))))&amp;IF(H4/E4&gt;=$W$4,1,IF(H4/E4&gt;=$W$5,2,IF(H4/E4&gt;=$W$6,3,IF(H4/E4&gt;=$W$7,4,IF(H4/E4&gt;=$W$8,5,6)))))</f>
        <v/>
      </c>
      <c r="J4" s="205" t="n">
        <v>4737.999999999999</v>
      </c>
      <c r="K4" s="207">
        <f>J4/D4</f>
        <v/>
      </c>
      <c r="L4" s="207" t="n">
        <v>74.70727023319616</v>
      </c>
      <c r="M4" s="127">
        <f>IF(K4&lt;=$U$4,"A",IF(K4&lt;=$U$5,"B",IF(K4&lt;=$U$6,"C",IF(K4&lt;=$U$7,"D",IF(K4&lt;=$U$8,"E","F")))))&amp;IF(L4/E4&gt;=$W$4,1,IF(L4/E4&gt;=$W$5,2,IF(L4/E4&gt;=$W$6,3,IF(L4/E4&gt;=$W$7,4,IF(L4/E4&gt;=$W$8,5,6)))))</f>
        <v/>
      </c>
      <c r="N4" s="201" t="n"/>
      <c r="O4" s="201" t="n">
        <v>4</v>
      </c>
      <c r="P4" s="201" t="inlineStr">
        <is>
          <t>N</t>
        </is>
      </c>
      <c r="Q4" s="201">
        <f t="array" ref="Q4">OFFSET(INDIRECT(ADDRESS(MATCH(O4&amp;P4,$AB$1:$AB$56,0),COLUMN($AB$3))),MATCH($E4,$AC$3:$AC$12,-1),14)</f>
        <v/>
      </c>
      <c r="R4" s="202" t="inlineStr">
        <is>
          <t>01F0532S</t>
        </is>
      </c>
      <c r="S4" s="44" t="n"/>
      <c r="T4" s="5" t="inlineStr">
        <is>
          <t>A</t>
        </is>
      </c>
      <c r="U4" s="5" t="n">
        <v>0.25</v>
      </c>
      <c r="V4" s="5" t="n">
        <v>1</v>
      </c>
      <c r="W4" s="5" t="n">
        <v>0.9</v>
      </c>
      <c r="X4" s="92" t="n"/>
      <c r="Y4" s="92" t="n"/>
      <c r="Z4" s="92" t="n"/>
      <c r="AA4" s="92" t="n">
        <v>1</v>
      </c>
      <c r="AB4" s="114" t="n"/>
      <c r="AC4" s="162" t="inlineStr">
        <is>
          <t>速限</t>
        </is>
      </c>
      <c r="AD4" s="162" t="inlineStr">
        <is>
          <t>自由速率Vf</t>
        </is>
      </c>
      <c r="AE4" s="162" t="inlineStr">
        <is>
          <t>流率Q</t>
        </is>
      </c>
      <c r="AF4" s="162" t="inlineStr">
        <is>
          <t>流率Q與速率V之關係</t>
        </is>
      </c>
      <c r="AO4" s="162" t="inlineStr">
        <is>
          <t>速率V</t>
        </is>
      </c>
      <c r="AP4" s="162" t="inlineStr">
        <is>
          <t>容量Qmax</t>
        </is>
      </c>
      <c r="AQ4" s="162" t="inlineStr">
        <is>
          <t>臨界速率</t>
        </is>
      </c>
      <c r="AR4" s="19" t="n"/>
      <c r="AS4" s="117" t="n"/>
    </row>
    <row r="5" ht="16.5" customHeight="1" s="189">
      <c r="A5" s="203" t="n"/>
      <c r="B5" s="198" t="inlineStr">
        <is>
          <t>內壢-中壢服務區</t>
        </is>
      </c>
      <c r="C5" s="192" t="inlineStr">
        <is>
          <t>往北</t>
        </is>
      </c>
      <c r="D5" s="199">
        <f>Q5*(O5+IF(P5="Y",1,0))+N5</f>
        <v/>
      </c>
      <c r="E5" s="199" t="n">
        <v>100</v>
      </c>
      <c r="F5" s="192" t="n">
        <v>6754.700000000001</v>
      </c>
      <c r="G5" s="200">
        <f>F5/D5</f>
        <v/>
      </c>
      <c r="H5" s="200" t="n">
        <v>83.64593942642723</v>
      </c>
      <c r="I5" s="100">
        <f>IF(G5&lt;=$U$4,"A",IF(G5&lt;=$U$5,"B",IF(G5&lt;=$U$6,"C",IF(G5&lt;=$U$7,"D",IF(G5&lt;=$U$8,"E","F")))))&amp;IF(H5/E5&gt;=$W$4,1,IF(H5/E5&gt;=$W$5,2,IF(H5/E5&gt;=$W$6,3,IF(H5/E5&gt;=$W$7,4,IF(H5/E5&gt;=$W$8,5,6)))))</f>
        <v/>
      </c>
      <c r="J5" s="192" t="n">
        <v>5686.900000000001</v>
      </c>
      <c r="K5" s="200">
        <f>J5/D5</f>
        <v/>
      </c>
      <c r="L5" s="200" t="n">
        <v>68.03315833103068</v>
      </c>
      <c r="M5" s="100">
        <f>IF(K5&lt;=$U$4,"A",IF(K5&lt;=$U$5,"B",IF(K5&lt;=$U$6,"C",IF(K5&lt;=$U$7,"D",IF(K5&lt;=$U$8,"E","F")))))&amp;IF(L5/E5&gt;=$W$4,1,IF(L5/E5&gt;=$W$5,2,IF(L5/E5&gt;=$W$6,3,IF(L5/E5&gt;=$W$7,4,IF(L5/E5&gt;=$W$8,5,6)))))</f>
        <v/>
      </c>
      <c r="N5" s="208" t="n"/>
      <c r="O5" s="201" t="n">
        <v>4</v>
      </c>
      <c r="P5" s="201" t="inlineStr">
        <is>
          <t>N</t>
        </is>
      </c>
      <c r="Q5" s="201">
        <f t="array" ref="Q5">OFFSET(INDIRECT(ADDRESS(MATCH(O5&amp;P5,$AB$1:$AB$56,0),COLUMN($AB$3))),MATCH($E5,$AC$3:$AC$12,-1),14)</f>
        <v/>
      </c>
      <c r="R5" s="209" t="inlineStr">
        <is>
          <t>01F0557N</t>
        </is>
      </c>
      <c r="S5" s="208" t="n"/>
      <c r="T5" s="5" t="inlineStr">
        <is>
          <t>B</t>
        </is>
      </c>
      <c r="U5" s="5" t="n">
        <v>0.5</v>
      </c>
      <c r="V5" s="5" t="n">
        <v>2</v>
      </c>
      <c r="W5" s="5" t="n">
        <v>0.8</v>
      </c>
      <c r="X5" s="92" t="n"/>
      <c r="Y5" s="92" t="n"/>
      <c r="Z5" s="92" t="n"/>
      <c r="AA5" s="92" t="n">
        <v>2</v>
      </c>
      <c r="AB5" s="114" t="n"/>
      <c r="AC5" s="162" t="n">
        <v>110</v>
      </c>
      <c r="AD5" s="162" t="n">
        <v>115</v>
      </c>
      <c r="AE5" s="162" t="n">
        <v>1500</v>
      </c>
      <c r="AF5" s="112" t="inlineStr">
        <is>
          <t>V=</t>
        </is>
      </c>
      <c r="AG5" s="19" t="n">
        <v>116.05</v>
      </c>
      <c r="AH5" s="19">
        <f>"-("</f>
        <v/>
      </c>
      <c r="AI5" s="18" t="n">
        <v>21.042</v>
      </c>
      <c r="AJ5" s="18" t="inlineStr">
        <is>
          <t>/(1+EXP(-(Q-</t>
        </is>
      </c>
      <c r="AK5" s="18" t="n">
        <v>2162.1</v>
      </c>
      <c r="AL5" s="18">
        <f>")/"</f>
        <v/>
      </c>
      <c r="AM5" s="18" t="n">
        <v>725.26</v>
      </c>
      <c r="AN5" s="18" t="inlineStr">
        <is>
          <t>)))</t>
        </is>
      </c>
      <c r="AO5" s="210">
        <f>AG5-(AI5/(1+EXP(-(AS5-AK5)/AM5)))</f>
        <v/>
      </c>
      <c r="AP5" s="162" t="n">
        <v>2050</v>
      </c>
      <c r="AQ5" s="162" t="n">
        <v>105</v>
      </c>
      <c r="AR5" s="19" t="n"/>
      <c r="AS5" s="18" t="n"/>
    </row>
    <row r="6" ht="16.5" customHeight="1" s="189">
      <c r="A6" s="203" t="n"/>
      <c r="B6" s="204" t="inlineStr">
        <is>
          <t>中壢服務區-內壢</t>
        </is>
      </c>
      <c r="C6" s="205" t="inlineStr">
        <is>
          <t>往南</t>
        </is>
      </c>
      <c r="D6" s="206">
        <f>Q6*(O6+IF(P6="Y",1,0))+N6</f>
        <v/>
      </c>
      <c r="E6" s="206" t="n">
        <v>100</v>
      </c>
      <c r="F6" s="205" t="n">
        <v>6748.999999999999</v>
      </c>
      <c r="G6" s="207">
        <f>F6/D6</f>
        <v/>
      </c>
      <c r="H6" s="207" t="n">
        <v>40.69247063354516</v>
      </c>
      <c r="I6" s="127">
        <f>IF(G6&lt;=$U$4,"A",IF(G6&lt;=$U$5,"B",IF(G6&lt;=$U$6,"C",IF(G6&lt;=$U$7,"D",IF(G6&lt;=$U$8,"E","F")))))&amp;IF(H6/E6&gt;=$W$4,1,IF(H6/E6&gt;=$W$5,2,IF(H6/E6&gt;=$W$6,3,IF(H6/E6&gt;=$W$7,4,IF(H6/E6&gt;=$W$8,5,6)))))</f>
        <v/>
      </c>
      <c r="J6" s="205" t="n">
        <v>4424.2</v>
      </c>
      <c r="K6" s="207">
        <f>J6/D6</f>
        <v/>
      </c>
      <c r="L6" s="207" t="n">
        <v>46.12359275575135</v>
      </c>
      <c r="M6" s="127">
        <f>IF(K6&lt;=$U$4,"A",IF(K6&lt;=$U$5,"B",IF(K6&lt;=$U$6,"C",IF(K6&lt;=$U$7,"D",IF(K6&lt;=$U$8,"E","F")))))&amp;IF(L6/E6&gt;=$W$4,1,IF(L6/E6&gt;=$W$5,2,IF(L6/E6&gt;=$W$6,3,IF(L6/E6&gt;=$W$7,4,IF(L6/E6&gt;=$W$8,5,6)))))</f>
        <v/>
      </c>
      <c r="N6" s="208" t="n"/>
      <c r="O6" s="201" t="n">
        <v>4</v>
      </c>
      <c r="P6" s="201" t="inlineStr">
        <is>
          <t>N</t>
        </is>
      </c>
      <c r="Q6" s="201">
        <f t="array" ref="Q6">OFFSET(INDIRECT(ADDRESS(MATCH(O6&amp;P6,$AB$1:$AB$56,0),COLUMN($AB$3))),MATCH($E6,$AC$3:$AC$12,-1),14)</f>
        <v/>
      </c>
      <c r="R6" s="209" t="inlineStr">
        <is>
          <t>01F0557S</t>
        </is>
      </c>
      <c r="S6" s="208" t="n"/>
      <c r="T6" s="5" t="inlineStr">
        <is>
          <t>C</t>
        </is>
      </c>
      <c r="U6" s="5" t="n">
        <v>0.8</v>
      </c>
      <c r="V6" s="5" t="n">
        <v>3</v>
      </c>
      <c r="W6" s="5" t="n">
        <v>0.6</v>
      </c>
      <c r="X6" s="92" t="n"/>
      <c r="Y6" s="92" t="n"/>
      <c r="Z6" s="92" t="n"/>
      <c r="AA6" s="92" t="n">
        <v>3</v>
      </c>
      <c r="AB6" s="114" t="n"/>
      <c r="AC6" s="162" t="n"/>
      <c r="AD6" s="162" t="n">
        <v>115</v>
      </c>
      <c r="AE6" s="162" t="n">
        <v>2050</v>
      </c>
      <c r="AF6" s="112" t="inlineStr">
        <is>
          <t>V=</t>
        </is>
      </c>
      <c r="AG6" s="19" t="n">
        <v>113.05</v>
      </c>
      <c r="AH6" s="19">
        <f>"-("</f>
        <v/>
      </c>
      <c r="AI6" s="18" t="n">
        <v>33.019</v>
      </c>
      <c r="AJ6" s="18" t="inlineStr">
        <is>
          <t>/(1+EXP(-(Q-</t>
        </is>
      </c>
      <c r="AK6" s="18" t="n">
        <v>2581.3</v>
      </c>
      <c r="AL6" s="18">
        <f>")/"</f>
        <v/>
      </c>
      <c r="AM6" s="18" t="n">
        <v>467.67</v>
      </c>
      <c r="AN6" s="18" t="inlineStr">
        <is>
          <t>)))</t>
        </is>
      </c>
      <c r="AO6" s="210">
        <f>AG6-(AI6/(1+EXP(-(AS6-AK6)/AM6)))</f>
        <v/>
      </c>
      <c r="AP6" s="162" t="n">
        <v>2050</v>
      </c>
      <c r="AQ6" s="162" t="n">
        <v>105</v>
      </c>
      <c r="AR6" s="19" t="n"/>
      <c r="AS6" s="18" t="n"/>
    </row>
    <row r="7">
      <c r="A7" s="203" t="n"/>
      <c r="B7" s="198" t="inlineStr">
        <is>
          <t>內壢-中壢</t>
        </is>
      </c>
      <c r="C7" s="192" t="inlineStr">
        <is>
          <t>往北</t>
        </is>
      </c>
      <c r="D7" s="199">
        <f>Q7*(O7+IF(P7="Y",1,0))+N7</f>
        <v/>
      </c>
      <c r="E7" s="199" t="n">
        <v>100</v>
      </c>
      <c r="F7" s="192" t="n">
        <v>6299.800000000001</v>
      </c>
      <c r="G7" s="200">
        <f>F7/D7</f>
        <v/>
      </c>
      <c r="H7" s="200" t="n">
        <v>48.13929961089494</v>
      </c>
      <c r="I7" s="100">
        <f>IF(G7&lt;=$U$4,"A",IF(G7&lt;=$U$5,"B",IF(G7&lt;=$U$6,"C",IF(G7&lt;=$U$7,"D",IF(G7&lt;=$U$8,"E","F")))))&amp;IF(H7/E7&gt;=$W$4,1,IF(H7/E7&gt;=$W$5,2,IF(H7/E7&gt;=$W$6,3,IF(H7/E7&gt;=$W$7,4,IF(H7/E7&gt;=$W$8,5,6)))))</f>
        <v/>
      </c>
      <c r="J7" s="192" t="n">
        <v>3652.4</v>
      </c>
      <c r="K7" s="200">
        <f>J7/D7</f>
        <v/>
      </c>
      <c r="L7" s="200" t="n">
        <v>10.94959677419355</v>
      </c>
      <c r="M7" s="100">
        <f>IF(K7&lt;=$U$4,"A",IF(K7&lt;=$U$5,"B",IF(K7&lt;=$U$6,"C",IF(K7&lt;=$U$7,"D",IF(K7&lt;=$U$8,"E","F")))))&amp;IF(L7/E7&gt;=$W$4,1,IF(L7/E7&gt;=$W$5,2,IF(L7/E7&gt;=$W$6,3,IF(L7/E7&gt;=$W$7,4,IF(L7/E7&gt;=$W$8,5,6)))))</f>
        <v/>
      </c>
      <c r="N7" s="208" t="n"/>
      <c r="O7" s="201" t="n">
        <v>3</v>
      </c>
      <c r="P7" s="201" t="inlineStr">
        <is>
          <t>N</t>
        </is>
      </c>
      <c r="Q7" s="201">
        <f t="array" ref="Q7">OFFSET(INDIRECT(ADDRESS(MATCH(O7&amp;P7,$AB$1:$AB$56,0),COLUMN($AB$3))),MATCH($E7,$AC$3:$AC$12,-1),14)</f>
        <v/>
      </c>
      <c r="R7" s="209" t="inlineStr">
        <is>
          <t>01F0578S</t>
        </is>
      </c>
      <c r="S7" s="208" t="n"/>
      <c r="T7" s="5" t="inlineStr">
        <is>
          <t>D</t>
        </is>
      </c>
      <c r="U7" s="5" t="n">
        <v>0.9</v>
      </c>
      <c r="V7" s="5" t="n">
        <v>4</v>
      </c>
      <c r="W7" s="5" t="n">
        <v>0.4</v>
      </c>
      <c r="X7" s="92" t="n"/>
      <c r="Y7" s="92" t="n"/>
      <c r="Z7" s="92" t="n"/>
      <c r="AA7" s="92" t="n">
        <v>4</v>
      </c>
      <c r="AB7" s="114" t="n"/>
      <c r="AC7" s="162" t="n"/>
      <c r="AD7" s="162" t="n">
        <v>110</v>
      </c>
      <c r="AE7" s="162" t="n">
        <v>1500</v>
      </c>
      <c r="AF7" s="112" t="inlineStr">
        <is>
          <t>V=</t>
        </is>
      </c>
      <c r="AG7" s="19" t="n">
        <v>110.78</v>
      </c>
      <c r="AH7" s="19">
        <f>"-("</f>
        <v/>
      </c>
      <c r="AI7" s="18" t="n">
        <v>19.579</v>
      </c>
      <c r="AJ7" s="18" t="inlineStr">
        <is>
          <t>/(1+EXP(-(Q-</t>
        </is>
      </c>
      <c r="AK7" s="18" t="n">
        <v>2070.2</v>
      </c>
      <c r="AL7" s="18">
        <f>")/"</f>
        <v/>
      </c>
      <c r="AM7" s="18" t="n">
        <v>645.99</v>
      </c>
      <c r="AN7" s="18" t="inlineStr">
        <is>
          <t>)))</t>
        </is>
      </c>
      <c r="AO7" s="210">
        <f>AG7-(AI7/(1+EXP(-(AS7-AK7)/AM7)))</f>
        <v/>
      </c>
      <c r="AP7" s="162" t="n">
        <v>2000</v>
      </c>
      <c r="AQ7" s="162" t="n">
        <v>100</v>
      </c>
      <c r="AR7" s="19" t="n"/>
      <c r="AS7" s="18" t="n"/>
    </row>
    <row r="8">
      <c r="A8" s="203" t="n"/>
      <c r="B8" s="204" t="inlineStr">
        <is>
          <t>中壢-內壢</t>
        </is>
      </c>
      <c r="C8" s="205" t="inlineStr">
        <is>
          <t>往南</t>
        </is>
      </c>
      <c r="D8" s="206">
        <f>Q8*(O8+IF(P8="Y",1,0))+N8</f>
        <v/>
      </c>
      <c r="E8" s="206" t="n">
        <v>100</v>
      </c>
      <c r="F8" s="205" t="n">
        <v>5993.299999999999</v>
      </c>
      <c r="G8" s="207">
        <f>F8/D8</f>
        <v/>
      </c>
      <c r="H8" s="207" t="n">
        <v>62.94269870609982</v>
      </c>
      <c r="I8" s="127">
        <f>IF(G8&lt;=$U$4,"A",IF(G8&lt;=$U$5,"B",IF(G8&lt;=$U$6,"C",IF(G8&lt;=$U$7,"D",IF(G8&lt;=$U$8,"E","F")))))&amp;IF(H8/E8&gt;=$W$4,1,IF(H8/E8&gt;=$W$5,2,IF(H8/E8&gt;=$W$6,3,IF(H8/E8&gt;=$W$7,4,IF(H8/E8&gt;=$W$8,5,6)))))</f>
        <v/>
      </c>
      <c r="J8" s="205" t="n">
        <v>5316.7</v>
      </c>
      <c r="K8" s="207">
        <f>J8/D8</f>
        <v/>
      </c>
      <c r="L8" s="207" t="n">
        <v>44.60733727810651</v>
      </c>
      <c r="M8" s="127">
        <f>IF(K8&lt;=$U$4,"A",IF(K8&lt;=$U$5,"B",IF(K8&lt;=$U$6,"C",IF(K8&lt;=$U$7,"D",IF(K8&lt;=$U$8,"E","F")))))&amp;IF(L8/E8&gt;=$W$4,1,IF(L8/E8&gt;=$W$5,2,IF(L8/E8&gt;=$W$6,3,IF(L8/E8&gt;=$W$7,4,IF(L8/E8&gt;=$W$8,5,6)))))</f>
        <v/>
      </c>
      <c r="N8" s="208" t="n"/>
      <c r="O8" s="201" t="n">
        <v>3</v>
      </c>
      <c r="P8" s="201" t="inlineStr">
        <is>
          <t>N</t>
        </is>
      </c>
      <c r="Q8" s="201">
        <f t="array" ref="Q8">OFFSET(INDIRECT(ADDRESS(MATCH(O8&amp;P8,$AB$1:$AB$56,0),COLUMN($AB$3))),MATCH($E8,$AC$3:$AC$12,-1),14)</f>
        <v/>
      </c>
      <c r="R8" s="209" t="inlineStr">
        <is>
          <t>01F0584N</t>
        </is>
      </c>
      <c r="S8" s="208" t="n"/>
      <c r="T8" s="5" t="inlineStr">
        <is>
          <t>E</t>
        </is>
      </c>
      <c r="U8" s="5" t="n">
        <v>1</v>
      </c>
      <c r="V8" s="5" t="n">
        <v>5</v>
      </c>
      <c r="W8" s="5" t="n">
        <v>0.2</v>
      </c>
      <c r="X8" s="92" t="n"/>
      <c r="Y8" s="92" t="n"/>
      <c r="Z8" s="92" t="n"/>
      <c r="AA8" s="92" t="n">
        <v>5</v>
      </c>
      <c r="AB8" s="114" t="n"/>
      <c r="AC8" s="162" t="n"/>
      <c r="AD8" s="162" t="n">
        <v>110</v>
      </c>
      <c r="AE8" s="162" t="n">
        <v>2000</v>
      </c>
      <c r="AF8" s="112" t="inlineStr">
        <is>
          <t>V=</t>
        </is>
      </c>
      <c r="AG8" s="19" t="n">
        <v>107.92</v>
      </c>
      <c r="AH8" s="19">
        <f>"-("</f>
        <v/>
      </c>
      <c r="AI8" s="18" t="n">
        <v>38.229</v>
      </c>
      <c r="AJ8" s="18" t="inlineStr">
        <is>
          <t>/(1+EXP(-(Q-</t>
        </is>
      </c>
      <c r="AK8" s="18" t="n">
        <v>2577.8</v>
      </c>
      <c r="AL8" s="18">
        <f>")/"</f>
        <v/>
      </c>
      <c r="AM8" s="18" t="n">
        <v>427.41</v>
      </c>
      <c r="AN8" s="18" t="inlineStr">
        <is>
          <t>)))</t>
        </is>
      </c>
      <c r="AO8" s="210">
        <f>AG8-(AI8/(1+EXP(-(AS8-AK8)/AM8)))</f>
        <v/>
      </c>
      <c r="AP8" s="162" t="n">
        <v>2000</v>
      </c>
      <c r="AQ8" s="162" t="n">
        <v>100</v>
      </c>
      <c r="AR8" s="19" t="n"/>
      <c r="AS8" s="18" t="n"/>
    </row>
    <row r="9">
      <c r="A9" s="203" t="n"/>
      <c r="B9" s="198" t="inlineStr">
        <is>
          <t>平鎮系統-中壢</t>
        </is>
      </c>
      <c r="C9" s="192" t="inlineStr">
        <is>
          <t>往北</t>
        </is>
      </c>
      <c r="D9" s="199">
        <f>Q9*(O9+IF(P9="Y",1,0))+N9</f>
        <v/>
      </c>
      <c r="E9" s="199" t="n">
        <v>100</v>
      </c>
      <c r="F9" s="192" t="n">
        <v>5700.699999999999</v>
      </c>
      <c r="G9" s="200">
        <f>F9/D9</f>
        <v/>
      </c>
      <c r="H9" s="200" t="n">
        <v>87.00560747663552</v>
      </c>
      <c r="I9" s="100">
        <f>IF(G9&lt;=$U$4,"A",IF(G9&lt;=$U$5,"B",IF(G9&lt;=$U$6,"C",IF(G9&lt;=$U$7,"D",IF(G9&lt;=$U$8,"E","F")))))&amp;IF(H9/E9&gt;=$W$4,1,IF(H9/E9&gt;=$W$5,2,IF(H9/E9&gt;=$W$6,3,IF(H9/E9&gt;=$W$7,4,IF(H9/E9&gt;=$W$8,5,6)))))</f>
        <v/>
      </c>
      <c r="J9" s="192" t="n">
        <v>5113.999999999999</v>
      </c>
      <c r="K9" s="200">
        <f>J9/D9</f>
        <v/>
      </c>
      <c r="L9" s="200" t="n">
        <v>77.42996643271285</v>
      </c>
      <c r="M9" s="100">
        <f>IF(K9&lt;=$U$4,"A",IF(K9&lt;=$U$5,"B",IF(K9&lt;=$U$6,"C",IF(K9&lt;=$U$7,"D",IF(K9&lt;=$U$8,"E","F")))))&amp;IF(L9/E9&gt;=$W$4,1,IF(L9/E9&gt;=$W$5,2,IF(L9/E9&gt;=$W$6,3,IF(L9/E9&gt;=$W$7,4,IF(L9/E9&gt;=$W$8,5,6)))))</f>
        <v/>
      </c>
      <c r="N9" s="208" t="n"/>
      <c r="O9" s="201" t="n">
        <v>3</v>
      </c>
      <c r="P9" s="201" t="inlineStr">
        <is>
          <t>Y</t>
        </is>
      </c>
      <c r="Q9" s="201">
        <f t="array" ref="Q9">OFFSET(INDIRECT(ADDRESS(MATCH(O9&amp;P9,$AB$1:$AB$56,0),COLUMN($AB$3))),MATCH($E9,$AC$3:$AC$12,-1),14)</f>
        <v/>
      </c>
      <c r="R9" s="209" t="inlineStr">
        <is>
          <t>01F0633N</t>
        </is>
      </c>
      <c r="S9" s="208" t="inlineStr">
        <is>
          <t xml:space="preserve">	平鎮系統(64k+050)~中壢北出匝道(匝道0k+210)</t>
        </is>
      </c>
      <c r="T9" s="5" t="inlineStr">
        <is>
          <t>F</t>
        </is>
      </c>
      <c r="U9" s="5" t="n"/>
      <c r="V9" s="5" t="n">
        <v>6</v>
      </c>
      <c r="W9" s="5" t="inlineStr">
        <is>
          <t>&lt;0.2</t>
        </is>
      </c>
      <c r="X9" s="92" t="n"/>
      <c r="Y9" s="92" t="n"/>
      <c r="Z9" s="92" t="n"/>
      <c r="AA9" s="92" t="n">
        <v>6</v>
      </c>
      <c r="AB9" s="114" t="n"/>
      <c r="AC9" s="162" t="n">
        <v>100</v>
      </c>
      <c r="AD9" s="162" t="n">
        <v>105</v>
      </c>
      <c r="AE9" s="162" t="n">
        <v>1500</v>
      </c>
      <c r="AF9" s="112" t="inlineStr">
        <is>
          <t>V=</t>
        </is>
      </c>
      <c r="AG9" s="19" t="n">
        <v>105.6</v>
      </c>
      <c r="AH9" s="19">
        <f>"-("</f>
        <v/>
      </c>
      <c r="AI9" s="18" t="n">
        <v>14.781</v>
      </c>
      <c r="AJ9" s="18" t="inlineStr">
        <is>
          <t>/(1+EXP(-(Q-</t>
        </is>
      </c>
      <c r="AK9" s="18" t="n">
        <v>1743.2</v>
      </c>
      <c r="AL9" s="18">
        <f>")/"</f>
        <v/>
      </c>
      <c r="AM9" s="18" t="n">
        <v>537.84</v>
      </c>
      <c r="AN9" s="18" t="inlineStr">
        <is>
          <t>)))</t>
        </is>
      </c>
      <c r="AO9" s="210">
        <f>AG9-(AI9/(1+EXP(-(AS9-AK9)/AM9)))</f>
        <v/>
      </c>
      <c r="AP9" s="162" t="n">
        <v>1950</v>
      </c>
      <c r="AQ9" s="162" t="n">
        <v>95</v>
      </c>
      <c r="AR9" s="19" t="n"/>
      <c r="AS9" s="18" t="n"/>
    </row>
    <row r="10">
      <c r="A10" s="203" t="n"/>
      <c r="B10" s="204" t="inlineStr">
        <is>
          <t>中壢-平鎮系統</t>
        </is>
      </c>
      <c r="C10" s="205" t="inlineStr">
        <is>
          <t>往南</t>
        </is>
      </c>
      <c r="D10" s="206">
        <f>Q10*(O10+IF(P10="Y",1,0))+N10</f>
        <v/>
      </c>
      <c r="E10" s="206" t="n">
        <v>100</v>
      </c>
      <c r="F10" s="205" t="n">
        <v>6449.999999999999</v>
      </c>
      <c r="G10" s="207">
        <f>F10/D10</f>
        <v/>
      </c>
      <c r="H10" s="207" t="n">
        <v>71.92880921895006</v>
      </c>
      <c r="I10" s="127">
        <f>IF(G10&lt;=$U$4,"A",IF(G10&lt;=$U$5,"B",IF(G10&lt;=$U$6,"C",IF(G10&lt;=$U$7,"D",IF(G10&lt;=$U$8,"E","F")))))&amp;IF(H10/E10&gt;=$W$4,1,IF(H10/E10&gt;=$W$5,2,IF(H10/E10&gt;=$W$6,3,IF(H10/E10&gt;=$W$7,4,IF(H10/E10&gt;=$W$8,5,6)))))</f>
        <v/>
      </c>
      <c r="J10" s="205" t="n">
        <v>3551.2</v>
      </c>
      <c r="K10" s="207">
        <f>J10/D10</f>
        <v/>
      </c>
      <c r="L10" s="207" t="n">
        <v>39.4908940397351</v>
      </c>
      <c r="M10" s="127">
        <f>IF(K10&lt;=$U$4,"A",IF(K10&lt;=$U$5,"B",IF(K10&lt;=$U$6,"C",IF(K10&lt;=$U$7,"D",IF(K10&lt;=$U$8,"E","F")))))&amp;IF(L10/E10&gt;=$W$4,1,IF(L10/E10&gt;=$W$5,2,IF(L10/E10&gt;=$W$6,3,IF(L10/E10&gt;=$W$7,4,IF(L10/E10&gt;=$W$8,5,6)))))</f>
        <v/>
      </c>
      <c r="N10" s="208" t="n"/>
      <c r="O10" s="201" t="n">
        <v>3</v>
      </c>
      <c r="P10" s="201" t="inlineStr">
        <is>
          <t>Y</t>
        </is>
      </c>
      <c r="Q10" s="201">
        <f t="array" ref="Q10">OFFSET(INDIRECT(ADDRESS(MATCH(O10&amp;P10,$AB$1:$AB$56,0),COLUMN($AB$3))),MATCH($E10,$AC$3:$AC$12,-1),14)</f>
        <v/>
      </c>
      <c r="R10" s="209" t="inlineStr">
        <is>
          <t>01F0633S</t>
        </is>
      </c>
      <c r="S10" s="211" t="inlineStr">
        <is>
          <t>中壢(62k+800)~平鎮系統南出匝道(匝道0k+170)</t>
        </is>
      </c>
      <c r="U10" s="1" t="n"/>
      <c r="V10" s="92" t="n"/>
      <c r="W10" s="92" t="n"/>
      <c r="X10" s="92" t="n"/>
      <c r="Y10" s="92" t="n"/>
      <c r="Z10" s="92" t="n"/>
      <c r="AA10" s="92" t="n">
        <v>7</v>
      </c>
      <c r="AB10" s="114" t="n"/>
      <c r="AC10" s="162" t="n"/>
      <c r="AD10" s="162" t="n">
        <v>105</v>
      </c>
      <c r="AE10" s="162" t="n">
        <v>1950</v>
      </c>
      <c r="AF10" s="112" t="inlineStr">
        <is>
          <t>V=</t>
        </is>
      </c>
      <c r="AG10" s="19" t="n">
        <v>100.79</v>
      </c>
      <c r="AH10" s="19">
        <f>"-("</f>
        <v/>
      </c>
      <c r="AI10" s="18" t="n">
        <v>18.473</v>
      </c>
      <c r="AJ10" s="18" t="inlineStr">
        <is>
          <t>/(1+EXP(-(Q-</t>
        </is>
      </c>
      <c r="AK10" s="18" t="n">
        <v>2124.5</v>
      </c>
      <c r="AL10" s="18">
        <f>")/"</f>
        <v/>
      </c>
      <c r="AM10" s="18" t="n">
        <v>221.04</v>
      </c>
      <c r="AN10" s="18" t="inlineStr">
        <is>
          <t>)))</t>
        </is>
      </c>
      <c r="AO10" s="210">
        <f>AG10-(AI10/(1+EXP(-(AS10-AK10)/AM10)))</f>
        <v/>
      </c>
      <c r="AP10" s="162" t="n">
        <v>1950</v>
      </c>
      <c r="AQ10" s="162" t="n">
        <v>95</v>
      </c>
      <c r="AR10" s="19" t="n"/>
      <c r="AS10" s="18" t="n"/>
    </row>
    <row r="11">
      <c r="A11" s="203" t="n"/>
      <c r="B11" s="198" t="inlineStr">
        <is>
          <t>幼獅-平鎮系統</t>
        </is>
      </c>
      <c r="C11" s="192" t="inlineStr">
        <is>
          <t>往北</t>
        </is>
      </c>
      <c r="D11" s="199">
        <f>Q11*(O11+IF(P11="Y",1,0))+N11</f>
        <v/>
      </c>
      <c r="E11" s="199" t="n">
        <v>100</v>
      </c>
      <c r="F11" s="192" t="n">
        <v>4862</v>
      </c>
      <c r="G11" s="200">
        <f>F11/D11</f>
        <v/>
      </c>
      <c r="H11" s="200" t="n">
        <v>93.23020198781661</v>
      </c>
      <c r="I11" s="100">
        <f>IF(G11&lt;=$U$4,"A",IF(G11&lt;=$U$5,"B",IF(G11&lt;=$U$6,"C",IF(G11&lt;=$U$7,"D",IF(G11&lt;=$U$8,"E","F")))))&amp;IF(H11/E11&gt;=$W$4,1,IF(H11/E11&gt;=$W$5,2,IF(H11/E11&gt;=$W$6,3,IF(H11/E11&gt;=$W$7,4,IF(H11/E11&gt;=$W$8,5,6)))))</f>
        <v/>
      </c>
      <c r="J11" s="192" t="n">
        <v>5201</v>
      </c>
      <c r="K11" s="200">
        <f>J11/D11</f>
        <v/>
      </c>
      <c r="L11" s="200" t="n">
        <v>63.55566725307866</v>
      </c>
      <c r="M11" s="100">
        <f>IF(K11&lt;=$U$4,"A",IF(K11&lt;=$U$5,"B",IF(K11&lt;=$U$6,"C",IF(K11&lt;=$U$7,"D",IF(K11&lt;=$U$8,"E","F")))))&amp;IF(L11/E11&gt;=$W$4,1,IF(L11/E11&gt;=$W$5,2,IF(L11/E11&gt;=$W$6,3,IF(L11/E11&gt;=$W$7,4,IF(L11/E11&gt;=$W$8,5,6)))))</f>
        <v/>
      </c>
      <c r="N11" s="208" t="n"/>
      <c r="O11" s="201" t="n">
        <v>3</v>
      </c>
      <c r="P11" s="201" t="inlineStr">
        <is>
          <t>N</t>
        </is>
      </c>
      <c r="Q11" s="201">
        <f t="array" ref="Q11">OFFSET(INDIRECT(ADDRESS(MATCH(O11&amp;P11,$AB$1:$AB$56,0),COLUMN($AB$3))),MATCH($E11,$AC$3:$AC$12,-1),14)</f>
        <v/>
      </c>
      <c r="R11" s="209" t="inlineStr">
        <is>
          <t>01F0664N</t>
        </is>
      </c>
      <c r="S11" s="208" t="n"/>
      <c r="T11" s="92" t="n"/>
      <c r="U11" s="92" t="n"/>
      <c r="V11" s="92" t="n"/>
      <c r="W11" s="92" t="n"/>
      <c r="X11" s="92" t="n"/>
      <c r="Y11" s="92" t="n"/>
      <c r="Z11" s="92" t="n"/>
      <c r="AA11" s="92" t="n">
        <v>8</v>
      </c>
      <c r="AB11" s="114" t="n"/>
      <c r="AC11" s="162" t="n">
        <v>90</v>
      </c>
      <c r="AD11" s="162" t="n">
        <v>100</v>
      </c>
      <c r="AE11" s="162" t="n">
        <v>1500</v>
      </c>
      <c r="AF11" s="112" t="inlineStr">
        <is>
          <t>V=</t>
        </is>
      </c>
      <c r="AG11" s="19" t="n">
        <v>100.6</v>
      </c>
      <c r="AH11" s="19">
        <f>"-("</f>
        <v/>
      </c>
      <c r="AI11" s="18" t="n">
        <v>17.791</v>
      </c>
      <c r="AJ11" s="18" t="inlineStr">
        <is>
          <t>/(1+EXP(-(Q-</t>
        </is>
      </c>
      <c r="AK11" s="18" t="n">
        <v>1974.8</v>
      </c>
      <c r="AL11" s="18">
        <f>")/"</f>
        <v/>
      </c>
      <c r="AM11" s="18" t="n">
        <v>577.4400000000001</v>
      </c>
      <c r="AN11" s="18" t="inlineStr">
        <is>
          <t>)))</t>
        </is>
      </c>
      <c r="AO11" s="116">
        <f>AG11-(AI11/(1+EXP(-(AS11-AK11)/AM11)))</f>
        <v/>
      </c>
      <c r="AP11" s="162" t="n">
        <v>1900</v>
      </c>
      <c r="AQ11" s="162" t="n">
        <v>90</v>
      </c>
      <c r="AR11" s="19" t="n"/>
      <c r="AS11" s="18" t="n"/>
    </row>
    <row r="12">
      <c r="A12" s="203" t="n"/>
      <c r="B12" s="204" t="inlineStr">
        <is>
          <t>平鎮系統-幼獅</t>
        </is>
      </c>
      <c r="C12" s="205" t="inlineStr">
        <is>
          <t>往南</t>
        </is>
      </c>
      <c r="D12" s="206">
        <f>Q12*(O12+IF(P12="Y",1,0))+N12</f>
        <v/>
      </c>
      <c r="E12" s="206" t="n">
        <v>100</v>
      </c>
      <c r="F12" s="205" t="n">
        <v>5959.799999999999</v>
      </c>
      <c r="G12" s="207">
        <f>F12/D12</f>
        <v/>
      </c>
      <c r="H12" s="207" t="n">
        <v>81.05455059355567</v>
      </c>
      <c r="I12" s="127">
        <f>IF(G12&lt;=$U$4,"A",IF(G12&lt;=$U$5,"B",IF(G12&lt;=$U$6,"C",IF(G12&lt;=$U$7,"D",IF(G12&lt;=$U$8,"E","F")))))&amp;IF(H12/E12&gt;=$W$4,1,IF(H12/E12&gt;=$W$5,2,IF(H12/E12&gt;=$W$6,3,IF(H12/E12&gt;=$W$7,4,IF(H12/E12&gt;=$W$8,5,6)))))</f>
        <v/>
      </c>
      <c r="J12" s="205" t="n">
        <v>3707.6</v>
      </c>
      <c r="K12" s="207">
        <f>J12/D12</f>
        <v/>
      </c>
      <c r="L12" s="207" t="n">
        <v>86.89373814041745</v>
      </c>
      <c r="M12" s="127">
        <f>IF(K12&lt;=$U$4,"A",IF(K12&lt;=$U$5,"B",IF(K12&lt;=$U$6,"C",IF(K12&lt;=$U$7,"D",IF(K12&lt;=$U$8,"E","F")))))&amp;IF(L12/E12&gt;=$W$4,1,IF(L12/E12&gt;=$W$5,2,IF(L12/E12&gt;=$W$6,3,IF(L12/E12&gt;=$W$7,4,IF(L12/E12&gt;=$W$8,5,6)))))</f>
        <v/>
      </c>
      <c r="N12" s="208" t="n"/>
      <c r="O12" s="201" t="n">
        <v>3</v>
      </c>
      <c r="P12" s="201" t="inlineStr">
        <is>
          <t>N</t>
        </is>
      </c>
      <c r="Q12" s="201">
        <f t="array" ref="Q12">OFFSET(INDIRECT(ADDRESS(MATCH(O12&amp;P12,$AB$1:$AB$56,0),COLUMN($AB$3))),MATCH($E12,$AC$3:$AC$12,-1),14)</f>
        <v/>
      </c>
      <c r="R12" s="209" t="inlineStr">
        <is>
          <t>01F0664S</t>
        </is>
      </c>
      <c r="S12" s="208" t="n"/>
      <c r="T12" s="92" t="n"/>
      <c r="U12" s="92" t="n"/>
      <c r="V12" s="92" t="n"/>
      <c r="W12" s="92" t="n"/>
      <c r="X12" s="92" t="n"/>
      <c r="Y12" s="92" t="n"/>
      <c r="Z12" s="92" t="n"/>
      <c r="AA12" s="92" t="n">
        <v>9</v>
      </c>
      <c r="AB12" s="19" t="n"/>
      <c r="AC12" s="162" t="n"/>
      <c r="AD12" s="162" t="n">
        <v>100</v>
      </c>
      <c r="AE12" s="162" t="n">
        <v>1900</v>
      </c>
      <c r="AF12" s="112" t="inlineStr">
        <is>
          <t>V=</t>
        </is>
      </c>
      <c r="AG12" s="19" t="n">
        <v>95.76000000000001</v>
      </c>
      <c r="AH12" s="19">
        <f>"-("</f>
        <v/>
      </c>
      <c r="AI12" s="18" t="n">
        <v>28.001</v>
      </c>
      <c r="AJ12" s="18" t="inlineStr">
        <is>
          <t>/(1+EXP(-(Q-</t>
        </is>
      </c>
      <c r="AK12" s="18" t="n">
        <v>2136.8</v>
      </c>
      <c r="AL12" s="18">
        <f>")/"</f>
        <v/>
      </c>
      <c r="AM12" s="18" t="n">
        <v>173.44</v>
      </c>
      <c r="AN12" s="18" t="inlineStr">
        <is>
          <t>)))</t>
        </is>
      </c>
      <c r="AO12" s="116">
        <f>AG12-(AI12/(1+EXP(-(AS12-AK12)/AM12)))</f>
        <v/>
      </c>
      <c r="AP12" s="162" t="n">
        <v>1900</v>
      </c>
      <c r="AQ12" s="162" t="n">
        <v>90</v>
      </c>
      <c r="AR12" s="19" t="n"/>
      <c r="AS12" s="18" t="n"/>
    </row>
    <row r="13">
      <c r="A13" s="203" t="n"/>
      <c r="B13" s="198" t="inlineStr">
        <is>
          <t>楊梅-幼獅</t>
        </is>
      </c>
      <c r="C13" s="192" t="inlineStr">
        <is>
          <t>往北</t>
        </is>
      </c>
      <c r="D13" s="199">
        <f>Q13*(O13+IF(P13="Y",1,0))+N13</f>
        <v/>
      </c>
      <c r="E13" s="199" t="n">
        <v>100</v>
      </c>
      <c r="F13" s="192" t="n">
        <v>4556.299999999999</v>
      </c>
      <c r="G13" s="200">
        <f>F13/D13</f>
        <v/>
      </c>
      <c r="H13" s="200" t="n">
        <v>92.42717717717717</v>
      </c>
      <c r="I13" s="100">
        <f>IF(G13&lt;=$U$4,"A",IF(G13&lt;=$U$5,"B",IF(G13&lt;=$U$6,"C",IF(G13&lt;=$U$7,"D",IF(G13&lt;=$U$8,"E","F")))))&amp;IF(H13/E13&gt;=$W$4,1,IF(H13/E13&gt;=$W$5,2,IF(H13/E13&gt;=$W$6,3,IF(H13/E13&gt;=$W$7,4,IF(H13/E13&gt;=$W$8,5,6)))))</f>
        <v/>
      </c>
      <c r="J13" s="192" t="n">
        <v>4428.900000000001</v>
      </c>
      <c r="K13" s="200">
        <f>J13/D13</f>
        <v/>
      </c>
      <c r="L13" s="200" t="n">
        <v>91.65161036920659</v>
      </c>
      <c r="M13" s="100">
        <f>IF(K13&lt;=$U$4,"A",IF(K13&lt;=$U$5,"B",IF(K13&lt;=$U$6,"C",IF(K13&lt;=$U$7,"D",IF(K13&lt;=$U$8,"E","F")))))&amp;IF(L13/E13&gt;=$W$4,1,IF(L13/E13&gt;=$W$5,2,IF(L13/E13&gt;=$W$6,3,IF(L13/E13&gt;=$W$7,4,IF(L13/E13&gt;=$W$8,5,6)))))</f>
        <v/>
      </c>
      <c r="N13" s="208" t="n"/>
      <c r="O13" s="201" t="n">
        <v>3</v>
      </c>
      <c r="P13" s="201" t="inlineStr">
        <is>
          <t>N</t>
        </is>
      </c>
      <c r="Q13" s="201">
        <f t="array" ref="Q13">OFFSET(INDIRECT(ADDRESS(MATCH(O13&amp;P13,$AB$1:$AB$56,0),COLUMN($AB$3))),MATCH($E13,$AC$3:$AC$12,-1),14)</f>
        <v/>
      </c>
      <c r="R13" s="209" t="inlineStr">
        <is>
          <t>01F0681N</t>
        </is>
      </c>
      <c r="S13" s="208" t="n"/>
      <c r="T13" s="94" t="n"/>
      <c r="U13" s="94" t="n"/>
      <c r="V13" s="94" t="n"/>
      <c r="W13" s="94" t="n"/>
      <c r="X13" s="94" t="n"/>
      <c r="Y13" s="94" t="n"/>
      <c r="Z13" s="94" t="n"/>
      <c r="AA13" s="108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19" t="n"/>
      <c r="AS13" s="18" t="n"/>
    </row>
    <row r="14">
      <c r="A14" s="203" t="n"/>
      <c r="B14" s="204" t="inlineStr">
        <is>
          <t>幼獅-楊梅</t>
        </is>
      </c>
      <c r="C14" s="205" t="inlineStr">
        <is>
          <t>往南</t>
        </is>
      </c>
      <c r="D14" s="206">
        <f>Q14*(O14+IF(P14="Y",1,0))+N14</f>
        <v/>
      </c>
      <c r="E14" s="206" t="n">
        <v>100</v>
      </c>
      <c r="F14" s="205" t="n">
        <v>5317.9</v>
      </c>
      <c r="G14" s="207">
        <f>F14/D14</f>
        <v/>
      </c>
      <c r="H14" s="207" t="n">
        <v>87.53078966433229</v>
      </c>
      <c r="I14" s="127">
        <f>IF(G14&lt;=$U$4,"A",IF(G14&lt;=$U$5,"B",IF(G14&lt;=$U$6,"C",IF(G14&lt;=$U$7,"D",IF(G14&lt;=$U$8,"E","F")))))&amp;IF(H14/E14&gt;=$W$4,1,IF(H14/E14&gt;=$W$5,2,IF(H14/E14&gt;=$W$6,3,IF(H14/E14&gt;=$W$7,4,IF(H14/E14&gt;=$W$8,5,6)))))</f>
        <v/>
      </c>
      <c r="J14" s="205" t="n">
        <v>3405.8</v>
      </c>
      <c r="K14" s="207">
        <f>J14/D14</f>
        <v/>
      </c>
      <c r="L14" s="207" t="n">
        <v>91.25273894975444</v>
      </c>
      <c r="M14" s="127">
        <f>IF(K14&lt;=$U$4,"A",IF(K14&lt;=$U$5,"B",IF(K14&lt;=$U$6,"C",IF(K14&lt;=$U$7,"D",IF(K14&lt;=$U$8,"E","F")))))&amp;IF(L14/E14&gt;=$W$4,1,IF(L14/E14&gt;=$W$5,2,IF(L14/E14&gt;=$W$6,3,IF(L14/E14&gt;=$W$7,4,IF(L14/E14&gt;=$W$8,5,6)))))</f>
        <v/>
      </c>
      <c r="N14" s="208" t="n"/>
      <c r="O14" s="201" t="n">
        <v>3</v>
      </c>
      <c r="P14" s="201" t="inlineStr">
        <is>
          <t>N</t>
        </is>
      </c>
      <c r="Q14" s="201">
        <f t="array" ref="Q14">OFFSET(INDIRECT(ADDRESS(MATCH(O14&amp;P14,$AB$1:$AB$56,0),COLUMN($AB$3))),MATCH($E14,$AC$3:$AC$12,-1),14)</f>
        <v/>
      </c>
      <c r="R14" s="209" t="inlineStr">
        <is>
          <t>01F0681S</t>
        </is>
      </c>
      <c r="S14" s="208" t="n"/>
      <c r="T14" s="94" t="n"/>
      <c r="U14" s="94" t="n"/>
      <c r="V14" s="94" t="n"/>
      <c r="W14" s="94" t="n"/>
      <c r="X14" s="94" t="n"/>
      <c r="Y14" s="94" t="n"/>
      <c r="Z14" s="94" t="n"/>
      <c r="AA14" s="108" t="n"/>
      <c r="AB14" s="111" t="inlineStr">
        <is>
          <t>3N</t>
        </is>
      </c>
      <c r="AC14" s="111" t="n"/>
      <c r="AD14" s="19" t="inlineStr">
        <is>
          <t>3車道平坦路段之代表性流率與速率關係</t>
        </is>
      </c>
      <c r="AE14" s="19" t="n"/>
      <c r="AF14" s="112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19" t="n"/>
      <c r="AS14" s="18" t="n"/>
    </row>
    <row r="15">
      <c r="A15" s="203" t="n"/>
      <c r="B15" s="198" t="inlineStr">
        <is>
          <t>楊梅端-楊梅</t>
        </is>
      </c>
      <c r="C15" s="192" t="inlineStr">
        <is>
          <t>往北</t>
        </is>
      </c>
      <c r="D15" s="199">
        <f>Q15*(O15+IF(P15="Y",1,0))+N15</f>
        <v/>
      </c>
      <c r="E15" s="199" t="n">
        <v>100</v>
      </c>
      <c r="F15" s="212">
        <f>J15*F17/J17</f>
        <v/>
      </c>
      <c r="G15" s="200">
        <f>F15/D15</f>
        <v/>
      </c>
      <c r="H15" s="200" t="n">
        <v>100.1595441595442</v>
      </c>
      <c r="I15" s="100">
        <f>IF(G15&lt;=$U$4,"A",IF(G15&lt;=$U$5,"B",IF(G15&lt;=$U$6,"C",IF(G15&lt;=$U$7,"D",IF(G15&lt;=$U$8,"E","F")))))&amp;IF(H15/E15&gt;=$W$4,1,IF(H15/E15&gt;=$W$5,2,IF(H15/E15&gt;=$W$6,3,IF(H15/E15&gt;=$W$7,4,IF(H15/E15&gt;=$W$8,5,6)))))</f>
        <v/>
      </c>
      <c r="J15" s="192" t="n">
        <v>3366.999999999999</v>
      </c>
      <c r="K15" s="200">
        <f>J15/D15</f>
        <v/>
      </c>
      <c r="L15" s="200" t="n">
        <v>93.626941362916</v>
      </c>
      <c r="M15" s="100">
        <f>IF(K15&lt;=$U$4,"A",IF(K15&lt;=$U$5,"B",IF(K15&lt;=$U$6,"C",IF(K15&lt;=$U$7,"D",IF(K15&lt;=$U$8,"E","F")))))&amp;IF(L15/E15&gt;=$W$4,1,IF(L15/E15&gt;=$W$5,2,IF(L15/E15&gt;=$W$6,3,IF(L15/E15&gt;=$W$7,4,IF(L15/E15&gt;=$W$8,5,6)))))</f>
        <v/>
      </c>
      <c r="N15" s="208" t="n"/>
      <c r="O15" s="201" t="n">
        <v>3</v>
      </c>
      <c r="P15" s="201" t="inlineStr">
        <is>
          <t>N</t>
        </is>
      </c>
      <c r="Q15" s="201">
        <f t="array" ref="Q15">OFFSET(INDIRECT(ADDRESS(MATCH(O15&amp;P15,$AB$1:$AB$56,0),COLUMN($AB$3))),MATCH($E15,$AC$3:$AC$12,-1),14)</f>
        <v/>
      </c>
      <c r="R15" s="209" t="inlineStr">
        <is>
          <t>01F0699N</t>
        </is>
      </c>
      <c r="S15" s="208" t="n"/>
      <c r="T15" s="94" t="n"/>
      <c r="U15" s="94" t="n"/>
      <c r="V15" s="94" t="n"/>
      <c r="W15" s="94" t="n"/>
      <c r="X15" s="94" t="n"/>
      <c r="Y15" s="94" t="n"/>
      <c r="Z15" s="94" t="n"/>
      <c r="AA15" s="92" t="n">
        <v>1</v>
      </c>
      <c r="AB15" s="19" t="n"/>
      <c r="AC15" s="162" t="inlineStr">
        <is>
          <t>速限</t>
        </is>
      </c>
      <c r="AD15" s="162" t="inlineStr">
        <is>
          <t>自由速率Vf</t>
        </is>
      </c>
      <c r="AE15" s="162" t="inlineStr">
        <is>
          <t>流率Q</t>
        </is>
      </c>
      <c r="AF15" s="162" t="inlineStr">
        <is>
          <t>流率Q與速率V之關係</t>
        </is>
      </c>
      <c r="AO15" s="162" t="inlineStr">
        <is>
          <t>速率V</t>
        </is>
      </c>
      <c r="AP15" s="162" t="inlineStr">
        <is>
          <t>容量Qmax</t>
        </is>
      </c>
      <c r="AQ15" s="162" t="inlineStr">
        <is>
          <t>臨界速率</t>
        </is>
      </c>
      <c r="AR15" s="19" t="n"/>
      <c r="AS15" s="117" t="n"/>
    </row>
    <row r="16">
      <c r="A16" s="203" t="n"/>
      <c r="B16" s="204" t="inlineStr">
        <is>
          <t>楊梅-楊梅端</t>
        </is>
      </c>
      <c r="C16" s="205" t="inlineStr">
        <is>
          <t>往南</t>
        </is>
      </c>
      <c r="D16" s="206">
        <f>Q16*(O16+IF(P16="Y",1,0))+N16</f>
        <v/>
      </c>
      <c r="E16" s="206" t="n">
        <v>100</v>
      </c>
      <c r="F16" s="213">
        <f>J16*F18/J18</f>
        <v/>
      </c>
      <c r="G16" s="207">
        <f>F16/D16</f>
        <v/>
      </c>
      <c r="H16" s="207" t="n">
        <v>86.98742816091954</v>
      </c>
      <c r="I16" s="127">
        <f>IF(G16&lt;=$U$4,"A",IF(G16&lt;=$U$5,"B",IF(G16&lt;=$U$6,"C",IF(G16&lt;=$U$7,"D",IF(G16&lt;=$U$8,"E","F")))))&amp;IF(H16/E16&gt;=$W$4,1,IF(H16/E16&gt;=$W$5,2,IF(H16/E16&gt;=$W$6,3,IF(H16/E16&gt;=$W$7,4,IF(H16/E16&gt;=$W$8,5,6)))))</f>
        <v/>
      </c>
      <c r="J16" s="205" t="n">
        <v>1880.7</v>
      </c>
      <c r="K16" s="207">
        <f>J16/D16</f>
        <v/>
      </c>
      <c r="L16" s="207" t="n">
        <v>91.496253122398</v>
      </c>
      <c r="M16" s="127">
        <f>IF(K16&lt;=$U$4,"A",IF(K16&lt;=$U$5,"B",IF(K16&lt;=$U$6,"C",IF(K16&lt;=$U$7,"D",IF(K16&lt;=$U$8,"E","F")))))&amp;IF(L16/E16&gt;=$W$4,1,IF(L16/E16&gt;=$W$5,2,IF(L16/E16&gt;=$W$6,3,IF(L16/E16&gt;=$W$7,4,IF(L16/E16&gt;=$W$8,5,6)))))</f>
        <v/>
      </c>
      <c r="N16" s="208" t="n"/>
      <c r="O16" s="201" t="n">
        <v>3</v>
      </c>
      <c r="P16" s="201" t="inlineStr">
        <is>
          <t>N</t>
        </is>
      </c>
      <c r="Q16" s="201">
        <f t="array" ref="Q16">OFFSET(INDIRECT(ADDRESS(MATCH(O16&amp;P16,$AB$1:$AB$56,0),COLUMN($AB$3))),MATCH($E16,$AC$3:$AC$12,-1),14)</f>
        <v/>
      </c>
      <c r="R16" s="209" t="inlineStr">
        <is>
          <t>01F0699S</t>
        </is>
      </c>
      <c r="S16" s="208" t="n"/>
      <c r="T16" s="94" t="n"/>
      <c r="U16" s="94" t="n"/>
      <c r="V16" s="94" t="n"/>
      <c r="W16" s="94" t="n"/>
      <c r="X16" s="94" t="n"/>
      <c r="Y16" s="94" t="n"/>
      <c r="Z16" s="94" t="n"/>
      <c r="AA16" s="92" t="n">
        <v>2</v>
      </c>
      <c r="AB16" s="19" t="n"/>
      <c r="AC16" s="162" t="n">
        <v>110</v>
      </c>
      <c r="AD16" s="162" t="n">
        <v>115</v>
      </c>
      <c r="AE16" s="162" t="n">
        <v>1500</v>
      </c>
      <c r="AF16" s="112" t="inlineStr">
        <is>
          <t>V=</t>
        </is>
      </c>
      <c r="AG16" s="19" t="n">
        <v>115.48</v>
      </c>
      <c r="AH16" s="19">
        <f>"-("</f>
        <v/>
      </c>
      <c r="AI16" s="18" t="n">
        <v>23.03</v>
      </c>
      <c r="AJ16" s="18" t="inlineStr">
        <is>
          <t>/(1+EXP(-(Q-</t>
        </is>
      </c>
      <c r="AK16" s="18" t="n">
        <v>2221.6</v>
      </c>
      <c r="AL16" s="18">
        <f>")/"</f>
        <v/>
      </c>
      <c r="AM16" s="18" t="n">
        <v>575</v>
      </c>
      <c r="AN16" s="18" t="inlineStr">
        <is>
          <t>)))</t>
        </is>
      </c>
      <c r="AO16" s="210">
        <f>AG16-(AI16/(1+EXP(-(AS16-AK16)/AM16)))</f>
        <v/>
      </c>
      <c r="AP16" s="162" t="n">
        <v>2000</v>
      </c>
      <c r="AQ16" s="162" t="n">
        <v>105</v>
      </c>
      <c r="AR16" s="19" t="n"/>
      <c r="AS16" s="18" t="n"/>
    </row>
    <row r="17">
      <c r="A17" s="203" t="n"/>
      <c r="B17" s="198" t="inlineStr">
        <is>
          <t>湖口-楊梅端</t>
        </is>
      </c>
      <c r="C17" s="192" t="inlineStr">
        <is>
          <t>往北</t>
        </is>
      </c>
      <c r="D17" s="199">
        <f>Q17*(O17+IF(P17="Y",1,0))+N17</f>
        <v/>
      </c>
      <c r="E17" s="199" t="n">
        <v>100</v>
      </c>
      <c r="F17" s="192" t="n">
        <v>4132.6</v>
      </c>
      <c r="G17" s="200">
        <f>F17/D17</f>
        <v/>
      </c>
      <c r="H17" s="200" t="n">
        <v>95.02802037845706</v>
      </c>
      <c r="I17" s="100">
        <f>IF(G17&lt;=$U$4,"A",IF(G17&lt;=$U$5,"B",IF(G17&lt;=$U$6,"C",IF(G17&lt;=$U$7,"D",IF(G17&lt;=$U$8,"E","F")))))&amp;IF(H17/E17&gt;=$W$4,1,IF(H17/E17&gt;=$W$5,2,IF(H17/E17&gt;=$W$6,3,IF(H17/E17&gt;=$W$7,4,IF(H17/E17&gt;=$W$8,5,6)))))</f>
        <v/>
      </c>
      <c r="J17" s="192" t="n">
        <v>5453.900000000001</v>
      </c>
      <c r="K17" s="200">
        <f>J17/D17</f>
        <v/>
      </c>
      <c r="L17" s="200" t="n">
        <v>81.75457241720217</v>
      </c>
      <c r="M17" s="100">
        <f>IF(K17&lt;=$U$4,"A",IF(K17&lt;=$U$5,"B",IF(K17&lt;=$U$6,"C",IF(K17&lt;=$U$7,"D",IF(K17&lt;=$U$8,"E","F")))))&amp;IF(L17/E17&gt;=$W$4,1,IF(L17/E17&gt;=$W$5,2,IF(L17/E17&gt;=$W$6,3,IF(L17/E17&gt;=$W$7,4,IF(L17/E17&gt;=$W$8,5,6)))))</f>
        <v/>
      </c>
      <c r="N17" s="208" t="n"/>
      <c r="O17" s="201" t="n">
        <v>3</v>
      </c>
      <c r="P17" s="201" t="inlineStr">
        <is>
          <t>N</t>
        </is>
      </c>
      <c r="Q17" s="201">
        <f t="array" ref="Q17">OFFSET(INDIRECT(ADDRESS(MATCH(O17&amp;P17,$AB$1:$AB$56,0),COLUMN($AB$3))),MATCH($E17,$AC$3:$AC$12,-1),14)</f>
        <v/>
      </c>
      <c r="R17" s="209" t="inlineStr">
        <is>
          <t>01F0750N</t>
        </is>
      </c>
      <c r="S17" s="208" t="n"/>
      <c r="T17" s="94" t="n"/>
      <c r="U17" s="94" t="n"/>
      <c r="V17" s="94" t="n"/>
      <c r="W17" s="94" t="n"/>
      <c r="X17" s="94" t="n"/>
      <c r="Y17" s="94" t="n"/>
      <c r="Z17" s="94" t="n"/>
      <c r="AA17" s="92" t="n">
        <v>3</v>
      </c>
      <c r="AB17" s="19" t="n"/>
      <c r="AC17" s="162" t="n"/>
      <c r="AD17" s="162" t="n">
        <v>115</v>
      </c>
      <c r="AE17" s="162" t="n">
        <v>2000</v>
      </c>
      <c r="AF17" s="112" t="inlineStr">
        <is>
          <t>V=</t>
        </is>
      </c>
      <c r="AG17" s="19" t="n">
        <v>112.25</v>
      </c>
      <c r="AH17" s="19">
        <f>"-("</f>
        <v/>
      </c>
      <c r="AI17" s="18" t="n">
        <v>58.239</v>
      </c>
      <c r="AJ17" s="18" t="inlineStr">
        <is>
          <t>/(1+EXP(-(Q-</t>
        </is>
      </c>
      <c r="AK17" s="18" t="n">
        <v>2687.6</v>
      </c>
      <c r="AL17" s="18">
        <f>")/"</f>
        <v/>
      </c>
      <c r="AM17" s="18" t="n">
        <v>349.41</v>
      </c>
      <c r="AN17" s="18" t="inlineStr">
        <is>
          <t>)))</t>
        </is>
      </c>
      <c r="AO17" s="210">
        <f>AG17-(AI17/(1+EXP(-(AS17-AK17)/AM17)))</f>
        <v/>
      </c>
      <c r="AP17" s="162" t="n">
        <v>2000</v>
      </c>
      <c r="AQ17" s="162" t="n">
        <v>105</v>
      </c>
      <c r="AR17" s="19" t="n"/>
      <c r="AS17" s="18" t="n"/>
    </row>
    <row r="18">
      <c r="A18" s="203" t="n"/>
      <c r="B18" s="204" t="inlineStr">
        <is>
          <t>楊梅端-湖口</t>
        </is>
      </c>
      <c r="C18" s="205" t="inlineStr">
        <is>
          <t>往南</t>
        </is>
      </c>
      <c r="D18" s="206">
        <f>Q18*(O18+IF(P18="Y",1,0))+N18</f>
        <v/>
      </c>
      <c r="E18" s="206" t="n">
        <v>100</v>
      </c>
      <c r="F18" s="205" t="n">
        <v>6050.9</v>
      </c>
      <c r="G18" s="207">
        <f>F18/D18</f>
        <v/>
      </c>
      <c r="H18" s="207" t="n">
        <v>83.29453291741915</v>
      </c>
      <c r="I18" s="127">
        <f>IF(G18&lt;=$U$4,"A",IF(G18&lt;=$U$5,"B",IF(G18&lt;=$U$6,"C",IF(G18&lt;=$U$7,"D",IF(G18&lt;=$U$8,"E","F")))))&amp;IF(H18/E18&gt;=$W$4,1,IF(H18/E18&gt;=$W$5,2,IF(H18/E18&gt;=$W$6,3,IF(H18/E18&gt;=$W$7,4,IF(H18/E18&gt;=$W$8,5,6)))))</f>
        <v/>
      </c>
      <c r="J18" s="205" t="n">
        <v>3652.1</v>
      </c>
      <c r="K18" s="207">
        <f>J18/D18</f>
        <v/>
      </c>
      <c r="L18" s="207" t="n">
        <v>96.24320330969267</v>
      </c>
      <c r="M18" s="127">
        <f>IF(K18&lt;=$U$4,"A",IF(K18&lt;=$U$5,"B",IF(K18&lt;=$U$6,"C",IF(K18&lt;=$U$7,"D",IF(K18&lt;=$U$8,"E","F")))))&amp;IF(L18/E18&gt;=$W$4,1,IF(L18/E18&gt;=$W$5,2,IF(L18/E18&gt;=$W$6,3,IF(L18/E18&gt;=$W$7,4,IF(L18/E18&gt;=$W$8,5,6)))))</f>
        <v/>
      </c>
      <c r="N18" s="208" t="n"/>
      <c r="O18" s="201" t="n">
        <v>3</v>
      </c>
      <c r="P18" s="201" t="inlineStr">
        <is>
          <t>Y</t>
        </is>
      </c>
      <c r="Q18" s="201">
        <f t="array" ref="Q18">OFFSET(INDIRECT(ADDRESS(MATCH(O18&amp;P18,$AB$1:$AB$56,0),COLUMN($AB$3))),MATCH($E18,$AC$3:$AC$12,-1),14)</f>
        <v/>
      </c>
      <c r="R18" s="209" t="inlineStr">
        <is>
          <t>01F0750S</t>
        </is>
      </c>
      <c r="S18" s="211" t="inlineStr">
        <is>
          <t>楊梅休息站(71k+720)~湖口南出匝道(匝道0k+153)</t>
        </is>
      </c>
      <c r="T18" s="94" t="n"/>
      <c r="U18" s="94" t="n"/>
      <c r="V18" s="94" t="n"/>
      <c r="W18" s="94" t="n"/>
      <c r="X18" s="94" t="n"/>
      <c r="Y18" s="94" t="n"/>
      <c r="Z18" s="94" t="n"/>
      <c r="AA18" s="92" t="n">
        <v>4</v>
      </c>
      <c r="AB18" s="19" t="n"/>
      <c r="AC18" s="162" t="n"/>
      <c r="AD18" s="162" t="n">
        <v>110</v>
      </c>
      <c r="AE18" s="162" t="n">
        <v>1500</v>
      </c>
      <c r="AF18" s="112" t="inlineStr">
        <is>
          <t>V=</t>
        </is>
      </c>
      <c r="AG18" s="19" t="n">
        <v>110.52</v>
      </c>
      <c r="AH18" s="19">
        <f>"-("</f>
        <v/>
      </c>
      <c r="AI18" s="18" t="n">
        <v>37.062</v>
      </c>
      <c r="AJ18" s="18" t="inlineStr">
        <is>
          <t>/(1+EXP(-(Q-</t>
        </is>
      </c>
      <c r="AK18" s="18" t="n">
        <v>2588.3</v>
      </c>
      <c r="AL18" s="18">
        <f>")/"</f>
        <v/>
      </c>
      <c r="AM18" s="18" t="n">
        <v>613.77</v>
      </c>
      <c r="AN18" s="18" t="inlineStr">
        <is>
          <t>)))</t>
        </is>
      </c>
      <c r="AO18" s="210">
        <f>AG18-(AI18/(1+EXP(-(AS18-AK18)/AM18)))</f>
        <v/>
      </c>
      <c r="AP18" s="162" t="n">
        <v>1950</v>
      </c>
      <c r="AQ18" s="162" t="n">
        <v>100</v>
      </c>
      <c r="AR18" s="19" t="n"/>
      <c r="AS18" s="18" t="n"/>
    </row>
    <row r="19">
      <c r="A19" s="203" t="n"/>
      <c r="B19" s="198" t="inlineStr">
        <is>
          <t>竹北-湖口</t>
        </is>
      </c>
      <c r="C19" s="192" t="inlineStr">
        <is>
          <t>往北</t>
        </is>
      </c>
      <c r="D19" s="199">
        <f>Q19*(O19+IF(P19="Y",1,0))+N19</f>
        <v/>
      </c>
      <c r="E19" s="199" t="n">
        <v>100</v>
      </c>
      <c r="F19" s="192" t="n">
        <v>6059.499999999999</v>
      </c>
      <c r="G19" s="200">
        <f>F19/D19</f>
        <v/>
      </c>
      <c r="H19" s="200" t="n">
        <v>88.65227337718044</v>
      </c>
      <c r="I19" s="100">
        <f>IF(G19&lt;=$U$4,"A",IF(G19&lt;=$U$5,"B",IF(G19&lt;=$U$6,"C",IF(G19&lt;=$U$7,"D",IF(G19&lt;=$U$8,"E","F")))))&amp;IF(H19/E19&gt;=$W$4,1,IF(H19/E19&gt;=$W$5,2,IF(H19/E19&gt;=$W$6,3,IF(H19/E19&gt;=$W$7,4,IF(H19/E19&gt;=$W$8,5,6)))))</f>
        <v/>
      </c>
      <c r="J19" s="192" t="n">
        <v>5263.100000000001</v>
      </c>
      <c r="K19" s="200">
        <f>J19/D19</f>
        <v/>
      </c>
      <c r="L19" s="200" t="n">
        <v>81.31700436009233</v>
      </c>
      <c r="M19" s="100">
        <f>IF(K19&lt;=$U$4,"A",IF(K19&lt;=$U$5,"B",IF(K19&lt;=$U$6,"C",IF(K19&lt;=$U$7,"D",IF(K19&lt;=$U$8,"E","F")))))&amp;IF(L19/E19&gt;=$W$4,1,IF(L19/E19&gt;=$W$5,2,IF(L19/E19&gt;=$W$6,3,IF(L19/E19&gt;=$W$7,4,IF(L19/E19&gt;=$W$8,5,6)))))</f>
        <v/>
      </c>
      <c r="N19" s="208" t="n"/>
      <c r="O19" s="201" t="n">
        <v>3</v>
      </c>
      <c r="P19" s="201" t="inlineStr">
        <is>
          <t>Y</t>
        </is>
      </c>
      <c r="Q19" s="201">
        <f t="array" ref="Q19">OFFSET(INDIRECT(ADDRESS(MATCH(O19&amp;P19,$AB$1:$AB$56,0),COLUMN($AB$3))),MATCH($E19,$AC$3:$AC$12,-1),14)</f>
        <v/>
      </c>
      <c r="R19" s="209" t="inlineStr">
        <is>
          <t>01F0880N</t>
        </is>
      </c>
      <c r="S19" s="211" t="inlineStr">
        <is>
          <t>竹北(90k+500)~湖口爬坡道(87k+200)</t>
        </is>
      </c>
      <c r="T19" s="94" t="n"/>
      <c r="U19" s="94" t="n"/>
      <c r="V19" s="94" t="n"/>
      <c r="W19" s="94" t="n"/>
      <c r="X19" s="94" t="n"/>
      <c r="Y19" s="94" t="n"/>
      <c r="Z19" s="94" t="n"/>
      <c r="AA19" s="92" t="n">
        <v>5</v>
      </c>
      <c r="AB19" s="19" t="n"/>
      <c r="AC19" s="162" t="n"/>
      <c r="AD19" s="162" t="n">
        <v>110</v>
      </c>
      <c r="AE19" s="162" t="n">
        <v>1950</v>
      </c>
      <c r="AF19" s="112" t="inlineStr">
        <is>
          <t>V=</t>
        </is>
      </c>
      <c r="AG19" s="19" t="n">
        <v>106.54</v>
      </c>
      <c r="AH19" s="19">
        <f>"-("</f>
        <v/>
      </c>
      <c r="AI19" s="18" t="n">
        <v>21.263</v>
      </c>
      <c r="AJ19" s="18" t="inlineStr">
        <is>
          <t>/(1+EXP(-(Q-</t>
        </is>
      </c>
      <c r="AK19" s="18" t="n">
        <v>2161.7</v>
      </c>
      <c r="AL19" s="18">
        <f>")/"</f>
        <v/>
      </c>
      <c r="AM19" s="18" t="n">
        <v>256.29</v>
      </c>
      <c r="AN19" s="18" t="inlineStr">
        <is>
          <t>)))</t>
        </is>
      </c>
      <c r="AO19" s="210">
        <f>AG19-(AI19/(1+EXP(-(AS19-AK19)/AM19)))</f>
        <v/>
      </c>
      <c r="AP19" s="162" t="n">
        <v>1950</v>
      </c>
      <c r="AQ19" s="162" t="n">
        <v>100</v>
      </c>
      <c r="AR19" s="19" t="n"/>
      <c r="AS19" s="18" t="n"/>
    </row>
    <row r="20">
      <c r="A20" s="196" t="n"/>
      <c r="B20" s="204" t="inlineStr">
        <is>
          <t>湖口-竹北</t>
        </is>
      </c>
      <c r="C20" s="205" t="inlineStr">
        <is>
          <t>往南</t>
        </is>
      </c>
      <c r="D20" s="206">
        <f>Q20*(O20+IF(P20="Y",1,0))+N20</f>
        <v/>
      </c>
      <c r="E20" s="206" t="n">
        <v>100</v>
      </c>
      <c r="F20" s="205" t="n">
        <v>6125.799999999999</v>
      </c>
      <c r="G20" s="207">
        <f>F20/D20</f>
        <v/>
      </c>
      <c r="H20" s="207" t="n">
        <v>69.26143328618576</v>
      </c>
      <c r="I20" s="127">
        <f>IF(G20&lt;=$U$4,"A",IF(G20&lt;=$U$5,"B",IF(G20&lt;=$U$6,"C",IF(G20&lt;=$U$7,"D",IF(G20&lt;=$U$8,"E","F")))))&amp;IF(H20/E20&gt;=$W$4,1,IF(H20/E20&gt;=$W$5,2,IF(H20/E20&gt;=$W$6,3,IF(H20/E20&gt;=$W$7,4,IF(H20/E20&gt;=$W$8,5,6)))))</f>
        <v/>
      </c>
      <c r="J20" s="205" t="n">
        <v>5011.7</v>
      </c>
      <c r="K20" s="207">
        <f>J20/D20</f>
        <v/>
      </c>
      <c r="L20" s="207" t="n">
        <v>94.52009377093101</v>
      </c>
      <c r="M20" s="127">
        <f>IF(K20&lt;=$U$4,"A",IF(K20&lt;=$U$5,"B",IF(K20&lt;=$U$6,"C",IF(K20&lt;=$U$7,"D",IF(K20&lt;=$U$8,"E","F")))))&amp;IF(L20/E20&gt;=$W$4,1,IF(L20/E20&gt;=$W$5,2,IF(L20/E20&gt;=$W$6,3,IF(L20/E20&gt;=$W$7,4,IF(L20/E20&gt;=$W$8,5,6)))))</f>
        <v/>
      </c>
      <c r="N20" s="208" t="n"/>
      <c r="O20" s="201" t="n">
        <v>3</v>
      </c>
      <c r="P20" s="201" t="inlineStr">
        <is>
          <t>Y</t>
        </is>
      </c>
      <c r="Q20" s="201">
        <f t="array" ref="Q20">OFFSET(INDIRECT(ADDRESS(MATCH(O20&amp;P20,$AB$1:$AB$56,0),COLUMN($AB$3))),MATCH($E20,$AC$3:$AC$12,-1),14)</f>
        <v/>
      </c>
      <c r="R20" s="209" t="inlineStr">
        <is>
          <t>01F0880S</t>
        </is>
      </c>
      <c r="S20" s="214" t="inlineStr">
        <is>
          <t>湖口(84k+500)~湖口服務區(86k+200)
湖口服務區(87k+290)~竹北南出匝道(匝道0k+300)</t>
        </is>
      </c>
      <c r="T20" s="94" t="n"/>
      <c r="U20" s="94" t="n"/>
      <c r="V20" s="94" t="n"/>
      <c r="W20" s="94" t="n"/>
      <c r="X20" s="94" t="n"/>
      <c r="Y20" s="94" t="n"/>
      <c r="Z20" s="94" t="n"/>
      <c r="AA20" s="92" t="n">
        <v>6</v>
      </c>
      <c r="AB20" s="19" t="n"/>
      <c r="AC20" s="162" t="n">
        <v>100</v>
      </c>
      <c r="AD20" s="162" t="n">
        <v>105</v>
      </c>
      <c r="AE20" s="162" t="n">
        <v>1500</v>
      </c>
      <c r="AF20" s="112" t="inlineStr">
        <is>
          <t>V=</t>
        </is>
      </c>
      <c r="AG20" s="19" t="n">
        <v>105.41</v>
      </c>
      <c r="AH20" s="19">
        <f>"-("</f>
        <v/>
      </c>
      <c r="AI20" s="18" t="n">
        <v>23.378</v>
      </c>
      <c r="AJ20" s="18" t="inlineStr">
        <is>
          <t>/(1+EXP(-(Q-</t>
        </is>
      </c>
      <c r="AK20" s="18" t="n">
        <v>2078.5</v>
      </c>
      <c r="AL20" s="18">
        <f>")/"</f>
        <v/>
      </c>
      <c r="AM20" s="18" t="n">
        <v>518.01</v>
      </c>
      <c r="AN20" s="18" t="inlineStr">
        <is>
          <t>)))</t>
        </is>
      </c>
      <c r="AO20" s="210">
        <f>AG20-(AI20/(1+EXP(-(AS20-AK20)/AM20)))</f>
        <v/>
      </c>
      <c r="AP20" s="162" t="n">
        <v>1900</v>
      </c>
      <c r="AQ20" s="162" t="n">
        <v>95</v>
      </c>
      <c r="AR20" s="19" t="n"/>
      <c r="AS20" s="18" t="n"/>
    </row>
    <row r="21">
      <c r="A21" s="208" t="n"/>
      <c r="B21" s="208" t="n"/>
      <c r="C21" s="208" t="n"/>
      <c r="D21" s="208" t="n"/>
      <c r="E21" s="208" t="n"/>
      <c r="F21" s="208" t="n"/>
      <c r="G21" s="208" t="n"/>
      <c r="H21" s="208" t="n"/>
      <c r="I21" s="208" t="n"/>
      <c r="J21" s="208" t="n"/>
      <c r="K21" s="208" t="n"/>
      <c r="L21" s="208" t="n"/>
      <c r="M21" s="208" t="n"/>
      <c r="N21" s="208" t="n"/>
      <c r="O21" s="208" t="n"/>
      <c r="P21" s="208" t="n"/>
      <c r="Q21" s="208" t="n"/>
      <c r="R21" s="208" t="n"/>
      <c r="S21" s="208" t="n"/>
      <c r="T21" s="94" t="n"/>
      <c r="U21" s="94" t="n"/>
      <c r="V21" s="94" t="n"/>
      <c r="W21" s="94" t="n"/>
      <c r="X21" s="94" t="n"/>
      <c r="Y21" s="94" t="n"/>
      <c r="Z21" s="94" t="n"/>
      <c r="AA21" s="92" t="n">
        <v>7</v>
      </c>
      <c r="AB21" s="19" t="n"/>
      <c r="AC21" s="162" t="n"/>
      <c r="AD21" s="162" t="n">
        <v>105</v>
      </c>
      <c r="AE21" s="162" t="n">
        <v>1900</v>
      </c>
      <c r="AF21" s="112" t="inlineStr">
        <is>
          <t>V=</t>
        </is>
      </c>
      <c r="AG21" s="19" t="n">
        <v>102.12</v>
      </c>
      <c r="AH21" s="19">
        <f>"-("</f>
        <v/>
      </c>
      <c r="AI21" s="18" t="n">
        <v>34.835</v>
      </c>
      <c r="AJ21" s="18" t="inlineStr">
        <is>
          <t>/(1+EXP(-(Q-</t>
        </is>
      </c>
      <c r="AK21" s="18" t="n">
        <v>2351.1</v>
      </c>
      <c r="AL21" s="18">
        <f>")/"</f>
        <v/>
      </c>
      <c r="AM21" s="18" t="n">
        <v>330.58</v>
      </c>
      <c r="AN21" s="18" t="inlineStr">
        <is>
          <t>)))</t>
        </is>
      </c>
      <c r="AO21" s="210">
        <f>AG21-(AI21/(1+EXP(-(AS21-AK21)/AM21)))</f>
        <v/>
      </c>
      <c r="AP21" s="162" t="n">
        <v>1900</v>
      </c>
      <c r="AQ21" s="162" t="n">
        <v>95</v>
      </c>
      <c r="AR21" s="19" t="n"/>
      <c r="AS21" s="18" t="n"/>
    </row>
    <row r="22">
      <c r="A22" s="208" t="n"/>
      <c r="B22" s="208" t="n"/>
      <c r="C22" s="208" t="n"/>
      <c r="D22" s="208" t="n"/>
      <c r="E22" s="208" t="n"/>
      <c r="F22" s="208" t="n"/>
      <c r="G22" s="208" t="n"/>
      <c r="H22" s="208" t="n"/>
      <c r="I22" s="208" t="n"/>
      <c r="J22" s="208" t="n"/>
      <c r="K22" s="208" t="n"/>
      <c r="L22" s="208" t="n"/>
      <c r="M22" s="208" t="n"/>
      <c r="N22" s="208" t="n"/>
      <c r="O22" s="208" t="n"/>
      <c r="P22" s="208" t="n"/>
      <c r="Q22" s="208" t="n"/>
      <c r="R22" s="208" t="n"/>
      <c r="S22" s="208" t="n"/>
      <c r="T22" s="94" t="n"/>
      <c r="U22" s="94" t="n"/>
      <c r="V22" s="94" t="n"/>
      <c r="W22" s="94" t="n"/>
      <c r="X22" s="94" t="n"/>
      <c r="Y22" s="94" t="n"/>
      <c r="Z22" s="94" t="n"/>
      <c r="AA22" s="92" t="n">
        <v>8</v>
      </c>
      <c r="AB22" s="19" t="n"/>
      <c r="AC22" s="162" t="n">
        <v>90</v>
      </c>
      <c r="AD22" s="162" t="n">
        <v>100</v>
      </c>
      <c r="AE22" s="162" t="n">
        <v>1500</v>
      </c>
      <c r="AF22" s="112" t="inlineStr">
        <is>
          <t>V=</t>
        </is>
      </c>
      <c r="AG22" s="19" t="n">
        <v>100.4</v>
      </c>
      <c r="AH22" s="19">
        <f>"-("</f>
        <v/>
      </c>
      <c r="AI22" s="18" t="n">
        <v>16.816</v>
      </c>
      <c r="AJ22" s="18" t="inlineStr">
        <is>
          <t>/(1+EXP(-(Q-</t>
        </is>
      </c>
      <c r="AK22" s="18" t="n">
        <v>1855</v>
      </c>
      <c r="AL22" s="18">
        <f>")/"</f>
        <v/>
      </c>
      <c r="AM22" s="18" t="n">
        <v>499.06</v>
      </c>
      <c r="AN22" s="18" t="inlineStr">
        <is>
          <t>)))</t>
        </is>
      </c>
      <c r="AO22" s="210">
        <f>AG22-(AI22/(1+EXP(-(AS22-AK22)/AM22)))</f>
        <v/>
      </c>
      <c r="AP22" s="162" t="n">
        <v>1850</v>
      </c>
      <c r="AQ22" s="162" t="n">
        <v>90</v>
      </c>
      <c r="AR22" s="19" t="n"/>
      <c r="AS22" s="18" t="n"/>
    </row>
    <row r="23">
      <c r="A23" s="193" t="inlineStr">
        <is>
          <t>國道3號</t>
        </is>
      </c>
      <c r="B23" s="198" t="inlineStr">
        <is>
          <t>三鶯-樹林</t>
        </is>
      </c>
      <c r="C23" s="192" t="inlineStr">
        <is>
          <t>往北</t>
        </is>
      </c>
      <c r="D23" s="199">
        <f>Q23*(O23+IF(P23="Y",1,0))+N23</f>
        <v/>
      </c>
      <c r="E23" s="199" t="n">
        <v>110</v>
      </c>
      <c r="F23" s="192" t="n">
        <v>6816.9</v>
      </c>
      <c r="G23" s="200">
        <f>F23/D23</f>
        <v/>
      </c>
      <c r="H23" s="200" t="n">
        <v>97.53327905556687</v>
      </c>
      <c r="I23" s="100">
        <f>IF(G23&lt;=$U$4,"A",IF(G23&lt;=$U$5,"B",IF(G23&lt;=$U$6,"C",IF(G23&lt;=$U$7,"D",IF(G23&lt;=$U$8,"E","F")))))&amp;IF(H23/E23&gt;=$W$4,1,IF(H23/E23&gt;=$W$5,2,IF(H23/E23&gt;=$W$6,3,IF(H23/E23&gt;=$W$7,4,IF(H23/E23&gt;=$W$8,5,6)))))</f>
        <v/>
      </c>
      <c r="J23" s="192" t="n">
        <v>6740.2</v>
      </c>
      <c r="K23" s="200">
        <f>J23/D23</f>
        <v/>
      </c>
      <c r="L23" s="200" t="n">
        <v>87.10354609929078</v>
      </c>
      <c r="M23" s="100">
        <f>IF(K23&lt;=$U$4,"A",IF(K23&lt;=$U$5,"B",IF(K23&lt;=$U$6,"C",IF(K23&lt;=$U$7,"D",IF(K23&lt;=$U$8,"E","F")))))&amp;IF(L23/E23&gt;=$W$4,1,IF(L23/E23&gt;=$W$5,2,IF(L23/E23&gt;=$W$6,3,IF(L23/E23&gt;=$W$7,4,IF(L23/E23&gt;=$W$8,5,6)))))</f>
        <v/>
      </c>
      <c r="N23" s="201" t="n"/>
      <c r="O23" s="201" t="n">
        <v>4</v>
      </c>
      <c r="P23" s="201" t="inlineStr">
        <is>
          <t>N</t>
        </is>
      </c>
      <c r="Q23" s="201">
        <f t="array" ref="Q23">OFFSET(INDIRECT(ADDRESS(MATCH(O23&amp;P23,$AB$1:$AB$56,0),COLUMN($AB$3))),MATCH($E23,$AC$3:$AC$12,-1),14)</f>
        <v/>
      </c>
      <c r="R23" s="202" t="inlineStr">
        <is>
          <t>03F0498N</t>
        </is>
      </c>
      <c r="S23" s="44" t="n"/>
      <c r="T23" s="94" t="n"/>
      <c r="U23" s="94" t="n"/>
      <c r="V23" s="94" t="n"/>
      <c r="W23" s="94" t="n"/>
      <c r="X23" s="94" t="n"/>
      <c r="Y23" s="94" t="n"/>
      <c r="Z23" s="94" t="n"/>
      <c r="AA23" s="92" t="n">
        <v>9</v>
      </c>
      <c r="AB23" s="19" t="n"/>
      <c r="AC23" s="162" t="n"/>
      <c r="AD23" s="162" t="n">
        <v>100</v>
      </c>
      <c r="AE23" s="162" t="n">
        <v>1850</v>
      </c>
      <c r="AF23" s="112" t="inlineStr">
        <is>
          <t>V=</t>
        </is>
      </c>
      <c r="AG23" s="19" t="n">
        <v>96.45</v>
      </c>
      <c r="AH23" s="19">
        <f>"-("</f>
        <v/>
      </c>
      <c r="AI23" s="18" t="n">
        <v>41.506</v>
      </c>
      <c r="AJ23" s="18" t="inlineStr">
        <is>
          <t>/(1+EXP(-(Q-</t>
        </is>
      </c>
      <c r="AK23" s="18" t="n">
        <v>2236.6</v>
      </c>
      <c r="AL23" s="18">
        <f>")/"</f>
        <v/>
      </c>
      <c r="AM23" s="18" t="n">
        <v>227.55</v>
      </c>
      <c r="AN23" s="18" t="inlineStr">
        <is>
          <t>)))</t>
        </is>
      </c>
      <c r="AO23" s="210">
        <f>AG23-(AI23/(1+EXP(-(AS23-AK23)/AM23)))</f>
        <v/>
      </c>
      <c r="AP23" s="162" t="n">
        <v>1850</v>
      </c>
      <c r="AQ23" s="162" t="n">
        <v>90</v>
      </c>
      <c r="AR23" s="19" t="n"/>
      <c r="AS23" s="18" t="n"/>
    </row>
    <row r="24" ht="16.5" customHeight="1" s="189">
      <c r="A24" s="203" t="n"/>
      <c r="B24" s="204" t="inlineStr">
        <is>
          <t>樹林-三鶯</t>
        </is>
      </c>
      <c r="C24" s="205" t="inlineStr">
        <is>
          <t>往南</t>
        </is>
      </c>
      <c r="D24" s="206">
        <f>Q24*(O24+IF(P24="Y",1,0))+N24</f>
        <v/>
      </c>
      <c r="E24" s="206" t="n">
        <v>110</v>
      </c>
      <c r="F24" s="205" t="n">
        <v>7294.699999999999</v>
      </c>
      <c r="G24" s="207">
        <f>F24/D24</f>
        <v/>
      </c>
      <c r="H24" s="207" t="n">
        <v>83.50667909288599</v>
      </c>
      <c r="I24" s="127">
        <f>IF(G24&lt;=$U$4,"A",IF(G24&lt;=$U$5,"B",IF(G24&lt;=$U$6,"C",IF(G24&lt;=$U$7,"D",IF(G24&lt;=$U$8,"E","F")))))&amp;IF(H24/E24&gt;=$W$4,1,IF(H24/E24&gt;=$W$5,2,IF(H24/E24&gt;=$W$6,3,IF(H24/E24&gt;=$W$7,4,IF(H24/E24&gt;=$W$8,5,6)))))</f>
        <v/>
      </c>
      <c r="J24" s="205" t="n">
        <v>5603.599999999999</v>
      </c>
      <c r="K24" s="207">
        <f>J24/D24</f>
        <v/>
      </c>
      <c r="L24" s="207" t="n">
        <v>80.9102399706906</v>
      </c>
      <c r="M24" s="127">
        <f>IF(K24&lt;=$U$4,"A",IF(K24&lt;=$U$5,"B",IF(K24&lt;=$U$6,"C",IF(K24&lt;=$U$7,"D",IF(K24&lt;=$U$8,"E","F")))))&amp;IF(L24/E24&gt;=$W$4,1,IF(L24/E24&gt;=$W$5,2,IF(L24/E24&gt;=$W$6,3,IF(L24/E24&gt;=$W$7,4,IF(L24/E24&gt;=$W$8,5,6)))))</f>
        <v/>
      </c>
      <c r="N24" s="201" t="n"/>
      <c r="O24" s="201" t="n">
        <v>4</v>
      </c>
      <c r="P24" s="201" t="inlineStr">
        <is>
          <t>N</t>
        </is>
      </c>
      <c r="Q24" s="201">
        <f t="array" ref="Q24">OFFSET(INDIRECT(ADDRESS(MATCH(O24&amp;P24,$AB$1:$AB$56,0),COLUMN($AB$3))),MATCH($E24,$AC$3:$AC$12,-1),14)</f>
        <v/>
      </c>
      <c r="R24" s="202" t="inlineStr">
        <is>
          <t>03F0498S</t>
        </is>
      </c>
      <c r="S24" s="44" t="n"/>
      <c r="T24" s="94" t="n"/>
      <c r="U24" s="94" t="n"/>
      <c r="V24" s="94" t="n"/>
      <c r="W24" s="94" t="n"/>
      <c r="X24" s="94" t="n"/>
      <c r="Y24" s="94" t="n"/>
      <c r="Z24" s="94" t="n"/>
      <c r="AA24" s="215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19" t="n"/>
      <c r="AS24" s="18" t="n"/>
    </row>
    <row r="25">
      <c r="A25" s="203" t="n"/>
      <c r="B25" s="198" t="inlineStr">
        <is>
          <t>鶯歌系統-三鶯</t>
        </is>
      </c>
      <c r="C25" s="192" t="inlineStr">
        <is>
          <t>往北</t>
        </is>
      </c>
      <c r="D25" s="199">
        <f>Q25*(O25+IF(P25="Y",1,0))+N25</f>
        <v/>
      </c>
      <c r="E25" s="199" t="n">
        <v>110</v>
      </c>
      <c r="F25" s="192" t="n">
        <v>6633.1</v>
      </c>
      <c r="G25" s="200">
        <f>F25/D25</f>
        <v/>
      </c>
      <c r="H25" s="200" t="n">
        <v>94.83006338665862</v>
      </c>
      <c r="I25" s="100">
        <f>IF(G25&lt;=$U$4,"A",IF(G25&lt;=$U$5,"B",IF(G25&lt;=$U$6,"C",IF(G25&lt;=$U$7,"D",IF(G25&lt;=$U$8,"E","F")))))&amp;IF(H25/E25&gt;=$W$4,1,IF(H25/E25&gt;=$W$5,2,IF(H25/E25&gt;=$W$6,3,IF(H25/E25&gt;=$W$7,4,IF(H25/E25&gt;=$W$8,5,6)))))</f>
        <v/>
      </c>
      <c r="J25" s="192" t="n">
        <v>7542.7</v>
      </c>
      <c r="K25" s="200">
        <f>J25/D25</f>
        <v/>
      </c>
      <c r="L25" s="200" t="n">
        <v>59.21875645527783</v>
      </c>
      <c r="M25" s="100">
        <f>IF(K25&lt;=$U$4,"A",IF(K25&lt;=$U$5,"B",IF(K25&lt;=$U$6,"C",IF(K25&lt;=$U$7,"D",IF(K25&lt;=$U$8,"E","F")))))&amp;IF(L25/E25&gt;=$W$4,1,IF(L25/E25&gt;=$W$5,2,IF(L25/E25&gt;=$W$6,3,IF(L25/E25&gt;=$W$7,4,IF(L25/E25&gt;=$W$8,5,6)))))</f>
        <v/>
      </c>
      <c r="N25" s="208" t="n"/>
      <c r="O25" s="201" t="n">
        <v>4</v>
      </c>
      <c r="P25" s="201" t="inlineStr">
        <is>
          <t>N</t>
        </is>
      </c>
      <c r="Q25" s="201">
        <f t="array" ref="Q25">OFFSET(INDIRECT(ADDRESS(MATCH(O25&amp;P25,$AB$1:$AB$56,0),COLUMN($AB$3))),MATCH($E25,$AC$3:$AC$12,-1),14)</f>
        <v/>
      </c>
      <c r="R25" s="209" t="inlineStr">
        <is>
          <t>03F0525N</t>
        </is>
      </c>
      <c r="S25" s="208" t="n"/>
      <c r="T25" s="94" t="n"/>
      <c r="U25" s="94" t="n"/>
      <c r="V25" s="94" t="n"/>
      <c r="W25" s="94" t="n"/>
      <c r="X25" s="94" t="n"/>
      <c r="Y25" s="94" t="n"/>
      <c r="Z25" s="94" t="n"/>
      <c r="AA25" s="215" t="n"/>
      <c r="AB25" s="111" t="inlineStr">
        <is>
          <t>4N</t>
        </is>
      </c>
      <c r="AC25" s="111" t="n"/>
      <c r="AD25" s="19" t="inlineStr">
        <is>
          <t>4車道平坦路段之代表性流率與速率關係</t>
        </is>
      </c>
      <c r="AE25" s="19" t="n"/>
      <c r="AF25" s="112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19" t="n"/>
      <c r="AS25" s="18" t="n"/>
    </row>
    <row r="26">
      <c r="A26" s="203" t="n"/>
      <c r="B26" s="204" t="inlineStr">
        <is>
          <t>三鶯-鶯歌系統</t>
        </is>
      </c>
      <c r="C26" s="205" t="inlineStr">
        <is>
          <t>往南</t>
        </is>
      </c>
      <c r="D26" s="206">
        <f>Q26*(O26+IF(P26="Y",1,0))+N26</f>
        <v/>
      </c>
      <c r="E26" s="206" t="n">
        <v>110</v>
      </c>
      <c r="F26" s="205" t="n">
        <v>8043.5</v>
      </c>
      <c r="G26" s="207">
        <f>F26/D26</f>
        <v/>
      </c>
      <c r="H26" s="207" t="n">
        <v>91.47361875999289</v>
      </c>
      <c r="I26" s="127">
        <f>IF(G26&lt;=$U$4,"A",IF(G26&lt;=$U$5,"B",IF(G26&lt;=$U$6,"C",IF(G26&lt;=$U$7,"D",IF(G26&lt;=$U$8,"E","F")))))&amp;IF(H26/E26&gt;=$W$4,1,IF(H26/E26&gt;=$W$5,2,IF(H26/E26&gt;=$W$6,3,IF(H26/E26&gt;=$W$7,4,IF(H26/E26&gt;=$W$8,5,6)))))</f>
        <v/>
      </c>
      <c r="J26" s="205" t="n">
        <v>5973</v>
      </c>
      <c r="K26" s="207">
        <f>J26/D26</f>
        <v/>
      </c>
      <c r="L26" s="207" t="n">
        <v>91.33406113537117</v>
      </c>
      <c r="M26" s="127">
        <f>IF(K26&lt;=$U$4,"A",IF(K26&lt;=$U$5,"B",IF(K26&lt;=$U$6,"C",IF(K26&lt;=$U$7,"D",IF(K26&lt;=$U$8,"E","F")))))&amp;IF(L26/E26&gt;=$W$4,1,IF(L26/E26&gt;=$W$5,2,IF(L26/E26&gt;=$W$6,3,IF(L26/E26&gt;=$W$7,4,IF(L26/E26&gt;=$W$8,5,6)))))</f>
        <v/>
      </c>
      <c r="N26" s="208" t="n"/>
      <c r="O26" s="201" t="n">
        <v>4</v>
      </c>
      <c r="P26" s="201" t="inlineStr">
        <is>
          <t>N</t>
        </is>
      </c>
      <c r="Q26" s="201">
        <f t="array" ref="Q26">OFFSET(INDIRECT(ADDRESS(MATCH(O26&amp;P26,$AB$1:$AB$56,0),COLUMN($AB$3))),MATCH($E26,$AC$3:$AC$12,-1),14)</f>
        <v/>
      </c>
      <c r="R26" s="209" t="inlineStr">
        <is>
          <t>03F0525S</t>
        </is>
      </c>
      <c r="S26" s="208" t="n"/>
      <c r="T26" s="94" t="n"/>
      <c r="U26" s="94" t="n"/>
      <c r="V26" s="94" t="n"/>
      <c r="W26" s="94" t="n"/>
      <c r="X26" s="94" t="n"/>
      <c r="Y26" s="94" t="n"/>
      <c r="Z26" s="94" t="n"/>
      <c r="AA26" s="92" t="n">
        <v>1</v>
      </c>
      <c r="AB26" s="19" t="n"/>
      <c r="AC26" s="162" t="inlineStr">
        <is>
          <t>速限</t>
        </is>
      </c>
      <c r="AD26" s="162" t="inlineStr">
        <is>
          <t>自由速率Vf</t>
        </is>
      </c>
      <c r="AE26" s="162" t="inlineStr">
        <is>
          <t>流率Q</t>
        </is>
      </c>
      <c r="AF26" s="162" t="inlineStr">
        <is>
          <t>流率Q與速率V之關係</t>
        </is>
      </c>
      <c r="AO26" s="162" t="inlineStr">
        <is>
          <t>速率V</t>
        </is>
      </c>
      <c r="AP26" s="162" t="inlineStr">
        <is>
          <t>容量Qmax</t>
        </is>
      </c>
      <c r="AQ26" s="162" t="inlineStr">
        <is>
          <t>臨界速率</t>
        </is>
      </c>
      <c r="AR26" s="19" t="n"/>
      <c r="AS26" s="117" t="n"/>
    </row>
    <row r="27">
      <c r="A27" s="203" t="n"/>
      <c r="B27" s="198" t="inlineStr">
        <is>
          <t>大溪-鶯歌系統</t>
        </is>
      </c>
      <c r="C27" s="192" t="inlineStr">
        <is>
          <t>往北</t>
        </is>
      </c>
      <c r="D27" s="199">
        <f>Q27*(O27+IF(P27="Y",1,0))+N27</f>
        <v/>
      </c>
      <c r="E27" s="199" t="n">
        <v>110</v>
      </c>
      <c r="F27" s="192" t="n">
        <v>4899.800000000001</v>
      </c>
      <c r="G27" s="200">
        <f>F27/D27</f>
        <v/>
      </c>
      <c r="H27" s="200" t="n">
        <v>97.71061981839716</v>
      </c>
      <c r="I27" s="100">
        <f>IF(G27&lt;=$U$4,"A",IF(G27&lt;=$U$5,"B",IF(G27&lt;=$U$6,"C",IF(G27&lt;=$U$7,"D",IF(G27&lt;=$U$8,"E","F")))))&amp;IF(H27/E27&gt;=$W$4,1,IF(H27/E27&gt;=$W$5,2,IF(H27/E27&gt;=$W$6,3,IF(H27/E27&gt;=$W$7,4,IF(H27/E27&gt;=$W$8,5,6)))))</f>
        <v/>
      </c>
      <c r="J27" s="192" t="n">
        <v>6423.200000000001</v>
      </c>
      <c r="K27" s="200">
        <f>J27/D27</f>
        <v/>
      </c>
      <c r="L27" s="200" t="n">
        <v>83.72313649564376</v>
      </c>
      <c r="M27" s="100">
        <f>IF(K27&lt;=$U$4,"A",IF(K27&lt;=$U$5,"B",IF(K27&lt;=$U$6,"C",IF(K27&lt;=$U$7,"D",IF(K27&lt;=$U$8,"E","F")))))&amp;IF(L27/E27&gt;=$W$4,1,IF(L27/E27&gt;=$W$5,2,IF(L27/E27&gt;=$W$6,3,IF(L27/E27&gt;=$W$7,4,IF(L27/E27&gt;=$W$8,5,6)))))</f>
        <v/>
      </c>
      <c r="N27" s="208" t="n"/>
      <c r="O27" s="201" t="n">
        <v>4</v>
      </c>
      <c r="P27" s="201" t="inlineStr">
        <is>
          <t>N</t>
        </is>
      </c>
      <c r="Q27" s="201">
        <f t="array" ref="Q27">OFFSET(INDIRECT(ADDRESS(MATCH(O27&amp;P27,$AB$1:$AB$56,0),COLUMN($AB$3))),MATCH($E27,$AC$3:$AC$12,-1),14)</f>
        <v/>
      </c>
      <c r="R27" s="209" t="inlineStr">
        <is>
          <t>03F0559N</t>
        </is>
      </c>
      <c r="S27" s="208" t="n"/>
      <c r="T27" s="94" t="n"/>
      <c r="U27" s="94" t="n"/>
      <c r="V27" s="94" t="n"/>
      <c r="W27" s="94" t="n"/>
      <c r="X27" s="94" t="n"/>
      <c r="Y27" s="94" t="n"/>
      <c r="Z27" s="94" t="n"/>
      <c r="AA27" s="92" t="n">
        <v>2</v>
      </c>
      <c r="AB27" s="19" t="n"/>
      <c r="AC27" s="162" t="n">
        <v>110</v>
      </c>
      <c r="AD27" s="162" t="n">
        <v>115</v>
      </c>
      <c r="AE27" s="162" t="n">
        <v>1500</v>
      </c>
      <c r="AF27" s="112" t="inlineStr">
        <is>
          <t>V=</t>
        </is>
      </c>
      <c r="AG27" s="19" t="n">
        <v>115.28</v>
      </c>
      <c r="AH27" s="19">
        <f>"-("</f>
        <v/>
      </c>
      <c r="AI27" s="18" t="n">
        <v>13.69</v>
      </c>
      <c r="AJ27" s="18" t="inlineStr">
        <is>
          <t>/(1+EXP(-(Q-</t>
        </is>
      </c>
      <c r="AK27" s="18" t="n">
        <v>1679.7</v>
      </c>
      <c r="AL27" s="18">
        <f>")/"</f>
        <v/>
      </c>
      <c r="AM27" s="18" t="n">
        <v>422.87</v>
      </c>
      <c r="AN27" s="18" t="inlineStr">
        <is>
          <t>)))</t>
        </is>
      </c>
      <c r="AO27" s="210">
        <f>AG27-(AI27/(1+EXP(-(AS27-AK27)/AM27)))</f>
        <v/>
      </c>
      <c r="AP27" s="162" t="n">
        <v>1950</v>
      </c>
      <c r="AQ27" s="162" t="n">
        <v>105</v>
      </c>
      <c r="AR27" s="19" t="n"/>
      <c r="AS27" s="18" t="n"/>
    </row>
    <row r="28" ht="16.5" customHeight="1" s="189">
      <c r="A28" s="203" t="n"/>
      <c r="B28" s="204" t="inlineStr">
        <is>
          <t>鶯歌系統-大溪</t>
        </is>
      </c>
      <c r="C28" s="205" t="inlineStr">
        <is>
          <t>往南</t>
        </is>
      </c>
      <c r="D28" s="206">
        <f>Q28*(O28+IF(P28="Y",1,0))+N28</f>
        <v/>
      </c>
      <c r="E28" s="206" t="n">
        <v>110</v>
      </c>
      <c r="F28" s="205" t="n">
        <v>6999.900000000001</v>
      </c>
      <c r="G28" s="207">
        <f>F28/D28</f>
        <v/>
      </c>
      <c r="H28" s="207" t="n">
        <v>90.99393019726858</v>
      </c>
      <c r="I28" s="127">
        <f>IF(G28&lt;=$U$4,"A",IF(G28&lt;=$U$5,"B",IF(G28&lt;=$U$6,"C",IF(G28&lt;=$U$7,"D",IF(G28&lt;=$U$8,"E","F")))))&amp;IF(H28/E28&gt;=$W$4,1,IF(H28/E28&gt;=$W$5,2,IF(H28/E28&gt;=$W$6,3,IF(H28/E28&gt;=$W$7,4,IF(H28/E28&gt;=$W$8,5,6)))))</f>
        <v/>
      </c>
      <c r="J28" s="205" t="n">
        <v>5205.6</v>
      </c>
      <c r="K28" s="207">
        <f>J28/D28</f>
        <v/>
      </c>
      <c r="L28" s="207" t="n">
        <v>88.6107226107226</v>
      </c>
      <c r="M28" s="127">
        <f>IF(K28&lt;=$U$4,"A",IF(K28&lt;=$U$5,"B",IF(K28&lt;=$U$6,"C",IF(K28&lt;=$U$7,"D",IF(K28&lt;=$U$8,"E","F")))))&amp;IF(L28/E28&gt;=$W$4,1,IF(L28/E28&gt;=$W$5,2,IF(L28/E28&gt;=$W$6,3,IF(L28/E28&gt;=$W$7,4,IF(L28/E28&gt;=$W$8,5,6)))))</f>
        <v/>
      </c>
      <c r="N28" s="208" t="n"/>
      <c r="O28" s="201" t="n">
        <v>4</v>
      </c>
      <c r="P28" s="201" t="inlineStr">
        <is>
          <t>N</t>
        </is>
      </c>
      <c r="Q28" s="201">
        <f t="array" ref="Q28">OFFSET(INDIRECT(ADDRESS(MATCH(O28&amp;P28,$AB$1:$AB$56,0),COLUMN($AB$3))),MATCH($E28,$AC$3:$AC$12,-1),14)</f>
        <v/>
      </c>
      <c r="R28" s="209" t="inlineStr">
        <is>
          <t>03F0559S</t>
        </is>
      </c>
      <c r="S28" s="208" t="n"/>
      <c r="T28" s="94" t="n"/>
      <c r="U28" s="94" t="n"/>
      <c r="V28" s="94" t="n"/>
      <c r="W28" s="94" t="n"/>
      <c r="X28" s="94" t="n"/>
      <c r="Y28" s="94" t="n"/>
      <c r="Z28" s="94" t="n"/>
      <c r="AA28" s="92" t="n">
        <v>3</v>
      </c>
      <c r="AB28" s="19" t="n"/>
      <c r="AC28" s="162" t="n"/>
      <c r="AD28" s="162" t="n">
        <v>115</v>
      </c>
      <c r="AE28" s="162" t="n">
        <v>1950</v>
      </c>
      <c r="AF28" s="112" t="inlineStr">
        <is>
          <t>V=</t>
        </is>
      </c>
      <c r="AG28" s="19" t="n">
        <v>112.11</v>
      </c>
      <c r="AH28" s="19">
        <f>"-("</f>
        <v/>
      </c>
      <c r="AI28" s="18" t="n">
        <v>18.104</v>
      </c>
      <c r="AJ28" s="18" t="inlineStr">
        <is>
          <t>/(1+EXP(-(Q-</t>
        </is>
      </c>
      <c r="AK28" s="18" t="n">
        <v>2078</v>
      </c>
      <c r="AL28" s="18">
        <f>")/"</f>
        <v/>
      </c>
      <c r="AM28" s="18" t="n">
        <v>288.36</v>
      </c>
      <c r="AN28" s="18" t="inlineStr">
        <is>
          <t>)))</t>
        </is>
      </c>
      <c r="AO28" s="210">
        <f>AG28-(AI28/(1+EXP(-(AS28-AK28)/AM28)))</f>
        <v/>
      </c>
      <c r="AP28" s="162" t="n">
        <v>1950</v>
      </c>
      <c r="AQ28" s="162" t="n">
        <v>105</v>
      </c>
      <c r="AR28" s="19" t="n"/>
      <c r="AS28" s="18" t="n"/>
    </row>
    <row r="29">
      <c r="A29" s="203" t="n"/>
      <c r="B29" s="198" t="inlineStr">
        <is>
          <t>龍潭-大溪</t>
        </is>
      </c>
      <c r="C29" s="192" t="inlineStr">
        <is>
          <t>往北</t>
        </is>
      </c>
      <c r="D29" s="199">
        <f>Q29*(O29+IF(P29="Y",1,0))+N29</f>
        <v/>
      </c>
      <c r="E29" s="199" t="n">
        <v>110</v>
      </c>
      <c r="F29" s="192" t="n">
        <v>3094.5</v>
      </c>
      <c r="G29" s="200">
        <f>F29/D29</f>
        <v/>
      </c>
      <c r="H29" s="200" t="n">
        <v>98.875</v>
      </c>
      <c r="I29" s="100">
        <f>IF(G29&lt;=$U$4,"A",IF(G29&lt;=$U$5,"B",IF(G29&lt;=$U$6,"C",IF(G29&lt;=$U$7,"D",IF(G29&lt;=$U$8,"E","F")))))&amp;IF(H29/E29&gt;=$W$4,1,IF(H29/E29&gt;=$W$5,2,IF(H29/E29&gt;=$W$6,3,IF(H29/E29&gt;=$W$7,4,IF(H29/E29&gt;=$W$8,5,6)))))</f>
        <v/>
      </c>
      <c r="J29" s="192" t="n">
        <v>5222</v>
      </c>
      <c r="K29" s="200">
        <f>J29/D29</f>
        <v/>
      </c>
      <c r="L29" s="200" t="n">
        <v>90.92707826932426</v>
      </c>
      <c r="M29" s="100">
        <f>IF(K29&lt;=$U$4,"A",IF(K29&lt;=$U$5,"B",IF(K29&lt;=$U$6,"C",IF(K29&lt;=$U$7,"D",IF(K29&lt;=$U$8,"E","F")))))&amp;IF(L29/E29&gt;=$W$4,1,IF(L29/E29&gt;=$W$5,2,IF(L29/E29&gt;=$W$6,3,IF(L29/E29&gt;=$W$7,4,IF(L29/E29&gt;=$W$8,5,6)))))</f>
        <v/>
      </c>
      <c r="N29" s="208" t="n"/>
      <c r="O29" s="201" t="n">
        <v>3</v>
      </c>
      <c r="P29" s="201" t="inlineStr">
        <is>
          <t>Y</t>
        </is>
      </c>
      <c r="Q29" s="201">
        <f t="array" ref="Q29">OFFSET(INDIRECT(ADDRESS(MATCH(O29&amp;P29,$AB$1:$AB$56,0),COLUMN($AB$3))),MATCH($E29,$AC$3:$AC$12,-1),14)</f>
        <v/>
      </c>
      <c r="R29" s="209" t="inlineStr">
        <is>
          <t>03F0648N</t>
        </is>
      </c>
      <c r="S29" s="211" t="inlineStr">
        <is>
          <t>龍潭(67k+650)~大溪(63k+250)</t>
        </is>
      </c>
      <c r="T29" s="94" t="n"/>
      <c r="U29" s="94" t="n"/>
      <c r="V29" s="94" t="n"/>
      <c r="W29" s="94" t="n"/>
      <c r="X29" s="94" t="n"/>
      <c r="Y29" s="94" t="n"/>
      <c r="Z29" s="94" t="n"/>
      <c r="AA29" s="92" t="n">
        <v>4</v>
      </c>
      <c r="AB29" s="19" t="n"/>
      <c r="AC29" s="162" t="n"/>
      <c r="AD29" s="162" t="n">
        <v>110</v>
      </c>
      <c r="AE29" s="162" t="n">
        <v>1500</v>
      </c>
      <c r="AF29" s="112" t="inlineStr">
        <is>
          <t>V=</t>
        </is>
      </c>
      <c r="AG29" s="19" t="n">
        <v>110.29</v>
      </c>
      <c r="AH29" s="19">
        <f>"-("</f>
        <v/>
      </c>
      <c r="AI29" s="18" t="n">
        <v>12.158</v>
      </c>
      <c r="AJ29" s="18" t="inlineStr">
        <is>
          <t>/(1+EXP(-(Q-</t>
        </is>
      </c>
      <c r="AK29" s="18" t="n">
        <v>1562.8</v>
      </c>
      <c r="AL29" s="18">
        <f>")/"</f>
        <v/>
      </c>
      <c r="AM29" s="18" t="n">
        <v>413.03</v>
      </c>
      <c r="AN29" s="18" t="inlineStr">
        <is>
          <t>)))</t>
        </is>
      </c>
      <c r="AO29" s="210">
        <f>AG29-(AI29/(1+EXP(-(AS29-AK29)/AM29)))</f>
        <v/>
      </c>
      <c r="AP29" s="162" t="n">
        <v>1900</v>
      </c>
      <c r="AQ29" s="162" t="n">
        <v>100</v>
      </c>
      <c r="AR29" s="19" t="n"/>
      <c r="AS29" s="18" t="n"/>
    </row>
    <row r="30">
      <c r="A30" s="203" t="n"/>
      <c r="B30" s="204" t="inlineStr">
        <is>
          <t>大溪-龍潭</t>
        </is>
      </c>
      <c r="C30" s="205" t="inlineStr">
        <is>
          <t>往南</t>
        </is>
      </c>
      <c r="D30" s="206">
        <f>Q30*(O30+IF(P30="Y",1,0))+N30</f>
        <v/>
      </c>
      <c r="E30" s="206" t="n">
        <v>110</v>
      </c>
      <c r="F30" s="205" t="n">
        <v>5733.8</v>
      </c>
      <c r="G30" s="207">
        <f>F30/D30</f>
        <v/>
      </c>
      <c r="H30" s="207" t="n">
        <v>24.87531521434575</v>
      </c>
      <c r="I30" s="127">
        <f>IF(G30&lt;=$U$4,"A",IF(G30&lt;=$U$5,"B",IF(G30&lt;=$U$6,"C",IF(G30&lt;=$U$7,"D",IF(G30&lt;=$U$8,"E","F")))))&amp;IF(H30/E30&gt;=$W$4,1,IF(H30/E30&gt;=$W$5,2,IF(H30/E30&gt;=$W$6,3,IF(H30/E30&gt;=$W$7,4,IF(H30/E30&gt;=$W$8,5,6)))))</f>
        <v/>
      </c>
      <c r="J30" s="205" t="n">
        <v>3200.7</v>
      </c>
      <c r="K30" s="207">
        <f>J30/D30</f>
        <v/>
      </c>
      <c r="L30" s="207" t="n">
        <v>98.69834384858044</v>
      </c>
      <c r="M30" s="127">
        <f>IF(K30&lt;=$U$4,"A",IF(K30&lt;=$U$5,"B",IF(K30&lt;=$U$6,"C",IF(K30&lt;=$U$7,"D",IF(K30&lt;=$U$8,"E","F")))))&amp;IF(L30/E30&gt;=$W$4,1,IF(L30/E30&gt;=$W$5,2,IF(L30/E30&gt;=$W$6,3,IF(L30/E30&gt;=$W$7,4,IF(L30/E30&gt;=$W$8,5,6)))))</f>
        <v/>
      </c>
      <c r="N30" s="208" t="n"/>
      <c r="O30" s="201" t="n">
        <v>3</v>
      </c>
      <c r="P30" s="201" t="inlineStr">
        <is>
          <t>N</t>
        </is>
      </c>
      <c r="Q30" s="201">
        <f t="array" ref="Q30">OFFSET(INDIRECT(ADDRESS(MATCH(O30&amp;P30,$AB$1:$AB$56,0),COLUMN($AB$3))),MATCH($E30,$AC$3:$AC$12,-1),14)</f>
        <v/>
      </c>
      <c r="R30" s="209" t="inlineStr">
        <is>
          <t>03F0648S</t>
        </is>
      </c>
      <c r="S30" s="211" t="n"/>
      <c r="T30" s="94" t="n"/>
      <c r="U30" s="94" t="n"/>
      <c r="V30" s="94" t="n"/>
      <c r="W30" s="94" t="n"/>
      <c r="X30" s="94" t="n"/>
      <c r="Y30" s="94" t="n"/>
      <c r="Z30" s="94" t="n"/>
      <c r="AA30" s="92" t="n">
        <v>5</v>
      </c>
      <c r="AB30" s="93" t="n"/>
      <c r="AC30" s="162" t="n"/>
      <c r="AD30" s="162" t="n">
        <v>110</v>
      </c>
      <c r="AE30" s="162" t="n">
        <v>1900</v>
      </c>
      <c r="AF30" s="112" t="inlineStr">
        <is>
          <t>V=</t>
        </is>
      </c>
      <c r="AG30" s="19" t="n">
        <v>108.92</v>
      </c>
      <c r="AH30" s="19">
        <f>"-("</f>
        <v/>
      </c>
      <c r="AI30" s="18" t="n">
        <v>39.217</v>
      </c>
      <c r="AJ30" s="18" t="inlineStr">
        <is>
          <t>/(1+EXP(-(Q-</t>
        </is>
      </c>
      <c r="AK30" s="18" t="n">
        <v>2464.3</v>
      </c>
      <c r="AL30" s="18">
        <f>")/"</f>
        <v/>
      </c>
      <c r="AM30" s="18" t="n">
        <v>458.29</v>
      </c>
      <c r="AN30" s="18" t="inlineStr">
        <is>
          <t>)))</t>
        </is>
      </c>
      <c r="AO30" s="210">
        <f>AG30-(AI30/(1+EXP(-(AS30-AK30)/AM30)))</f>
        <v/>
      </c>
      <c r="AP30" s="162" t="n">
        <v>1900</v>
      </c>
      <c r="AQ30" s="162" t="n">
        <v>100</v>
      </c>
      <c r="AR30" s="19" t="n"/>
      <c r="AS30" s="18" t="n"/>
    </row>
    <row r="31">
      <c r="A31" s="203" t="n"/>
      <c r="B31" s="198" t="inlineStr">
        <is>
          <t>高原-龍潭</t>
        </is>
      </c>
      <c r="C31" s="192" t="inlineStr">
        <is>
          <t>往北</t>
        </is>
      </c>
      <c r="D31" s="199">
        <f>Q31*(O31+IF(P31="Y",1,0))+N31</f>
        <v/>
      </c>
      <c r="E31" s="199" t="n">
        <v>110</v>
      </c>
      <c r="F31" s="192" t="n">
        <v>2371.9</v>
      </c>
      <c r="G31" s="200">
        <f>F31/D31</f>
        <v/>
      </c>
      <c r="H31" s="200" t="n">
        <v>101.3724832214765</v>
      </c>
      <c r="I31" s="100">
        <f>IF(G31&lt;=$U$4,"A",IF(G31&lt;=$U$5,"B",IF(G31&lt;=$U$6,"C",IF(G31&lt;=$U$7,"D",IF(G31&lt;=$U$8,"E","F")))))&amp;IF(H31/E31&gt;=$W$4,1,IF(H31/E31&gt;=$W$5,2,IF(H31/E31&gt;=$W$6,3,IF(H31/E31&gt;=$W$7,4,IF(H31/E31&gt;=$W$8,5,6)))))</f>
        <v/>
      </c>
      <c r="J31" s="192" t="n">
        <v>4761.2</v>
      </c>
      <c r="K31" s="200">
        <f>J31/D31</f>
        <v/>
      </c>
      <c r="L31" s="200" t="n">
        <v>95.49238709677419</v>
      </c>
      <c r="M31" s="100">
        <f>IF(K31&lt;=$U$4,"A",IF(K31&lt;=$U$5,"B",IF(K31&lt;=$U$6,"C",IF(K31&lt;=$U$7,"D",IF(K31&lt;=$U$8,"E","F")))))&amp;IF(L31/E31&gt;=$W$4,1,IF(L31/E31&gt;=$W$5,2,IF(L31/E31&gt;=$W$6,3,IF(L31/E31&gt;=$W$7,4,IF(L31/E31&gt;=$W$8,5,6)))))</f>
        <v/>
      </c>
      <c r="N31" s="208" t="n"/>
      <c r="O31" s="201" t="n">
        <v>3</v>
      </c>
      <c r="P31" s="201" t="inlineStr">
        <is>
          <t>N</t>
        </is>
      </c>
      <c r="Q31" s="201">
        <f t="array" ref="Q31">OFFSET(INDIRECT(ADDRESS(MATCH(O31&amp;P31,$AB$1:$AB$56,0),COLUMN($AB$3))),MATCH($E31,$AC$3:$AC$12,-1),14)</f>
        <v/>
      </c>
      <c r="R31" s="209" t="inlineStr">
        <is>
          <t>03F0698N</t>
        </is>
      </c>
      <c r="S31" s="208" t="n"/>
      <c r="T31" s="94" t="n"/>
      <c r="U31" s="94" t="n"/>
      <c r="V31" s="94" t="n"/>
      <c r="W31" s="94" t="n"/>
      <c r="X31" s="94" t="n"/>
      <c r="Y31" s="94" t="n"/>
      <c r="Z31" s="94" t="n"/>
      <c r="AA31" s="92" t="n">
        <v>6</v>
      </c>
      <c r="AB31" s="93" t="n"/>
      <c r="AC31" s="162" t="n">
        <v>100</v>
      </c>
      <c r="AD31" s="162" t="n">
        <v>105</v>
      </c>
      <c r="AE31" s="162" t="n">
        <v>1500</v>
      </c>
      <c r="AF31" s="112" t="inlineStr">
        <is>
          <t>V=</t>
        </is>
      </c>
      <c r="AG31" s="19" t="n">
        <v>105.34</v>
      </c>
      <c r="AH31" s="19">
        <f>"-("</f>
        <v/>
      </c>
      <c r="AI31" s="18" t="n">
        <v>13.281</v>
      </c>
      <c r="AJ31" s="18" t="inlineStr">
        <is>
          <t>/(1+EXP(-(Q-</t>
        </is>
      </c>
      <c r="AK31" s="18" t="n">
        <v>1595.4</v>
      </c>
      <c r="AL31" s="18">
        <f>")/"</f>
        <v/>
      </c>
      <c r="AM31" s="18" t="n">
        <v>423.72</v>
      </c>
      <c r="AN31" s="18" t="inlineStr">
        <is>
          <t>)))</t>
        </is>
      </c>
      <c r="AO31" s="210">
        <f>AG31-(AI31/(1+EXP(-(AS31-AK31)/AM31)))</f>
        <v/>
      </c>
      <c r="AP31" s="162" t="n">
        <v>1850</v>
      </c>
      <c r="AQ31" s="162" t="n">
        <v>95</v>
      </c>
      <c r="AR31" s="19" t="n"/>
      <c r="AS31" s="18" t="n"/>
    </row>
    <row r="32">
      <c r="A32" s="203" t="n"/>
      <c r="B32" s="204" t="inlineStr">
        <is>
          <t>龍潭-高原</t>
        </is>
      </c>
      <c r="C32" s="205" t="inlineStr">
        <is>
          <t>往南</t>
        </is>
      </c>
      <c r="D32" s="206">
        <f>Q32*(O32+IF(P32="Y",1,0))+N32</f>
        <v/>
      </c>
      <c r="E32" s="206" t="n">
        <v>110</v>
      </c>
      <c r="F32" s="205" t="n">
        <v>4626.099999999999</v>
      </c>
      <c r="G32" s="207">
        <f>F32/D32</f>
        <v/>
      </c>
      <c r="H32" s="207" t="n">
        <v>74.53071528751754</v>
      </c>
      <c r="I32" s="127">
        <f>IF(G32&lt;=$U$4,"A",IF(G32&lt;=$U$5,"B",IF(G32&lt;=$U$6,"C",IF(G32&lt;=$U$7,"D",IF(G32&lt;=$U$8,"E","F")))))&amp;IF(H32/E32&gt;=$W$4,1,IF(H32/E32&gt;=$W$5,2,IF(H32/E32&gt;=$W$6,3,IF(H32/E32&gt;=$W$7,4,IF(H32/E32&gt;=$W$8,5,6)))))</f>
        <v/>
      </c>
      <c r="J32" s="205" t="n">
        <v>2576.5</v>
      </c>
      <c r="K32" s="207">
        <f>J32/D32</f>
        <v/>
      </c>
      <c r="L32" s="207" t="n">
        <v>98.99157164105107</v>
      </c>
      <c r="M32" s="127">
        <f>IF(K32&lt;=$U$4,"A",IF(K32&lt;=$U$5,"B",IF(K32&lt;=$U$6,"C",IF(K32&lt;=$U$7,"D",IF(K32&lt;=$U$8,"E","F")))))&amp;IF(L32/E32&gt;=$W$4,1,IF(L32/E32&gt;=$W$5,2,IF(L32/E32&gt;=$W$6,3,IF(L32/E32&gt;=$W$7,4,IF(L32/E32&gt;=$W$8,5,6)))))</f>
        <v/>
      </c>
      <c r="N32" s="208" t="n"/>
      <c r="O32" s="201" t="n">
        <v>3</v>
      </c>
      <c r="P32" s="201" t="inlineStr">
        <is>
          <t>N</t>
        </is>
      </c>
      <c r="Q32" s="201">
        <f t="array" ref="Q32">OFFSET(INDIRECT(ADDRESS(MATCH(O32&amp;P32,$AB$1:$AB$56,0),COLUMN($AB$3))),MATCH($E32,$AC$3:$AC$12,-1),14)</f>
        <v/>
      </c>
      <c r="R32" s="209" t="inlineStr">
        <is>
          <t>03F0698S</t>
        </is>
      </c>
      <c r="S32" s="208" t="n"/>
      <c r="T32" s="94" t="n"/>
      <c r="U32" s="94" t="n"/>
      <c r="V32" s="94" t="n"/>
      <c r="W32" s="94" t="n"/>
      <c r="X32" s="94" t="n"/>
      <c r="Y32" s="94" t="n"/>
      <c r="Z32" s="94" t="n"/>
      <c r="AA32" s="92" t="n">
        <v>7</v>
      </c>
      <c r="AB32" s="19" t="n"/>
      <c r="AC32" s="162" t="n"/>
      <c r="AD32" s="162" t="n">
        <v>105</v>
      </c>
      <c r="AE32" s="162" t="n">
        <v>1850</v>
      </c>
      <c r="AF32" s="112" t="inlineStr">
        <is>
          <t>V=</t>
        </is>
      </c>
      <c r="AG32" s="19" t="n">
        <v>101.03</v>
      </c>
      <c r="AH32" s="19">
        <f>"-("</f>
        <v/>
      </c>
      <c r="AI32" s="18" t="n">
        <v>12.298</v>
      </c>
      <c r="AJ32" s="18" t="inlineStr">
        <is>
          <t>/(1+EXP(-(Q-</t>
        </is>
      </c>
      <c r="AK32" s="18" t="n">
        <v>1858.1</v>
      </c>
      <c r="AL32" s="18">
        <f>")/"</f>
        <v/>
      </c>
      <c r="AM32" s="18" t="n">
        <v>184.22</v>
      </c>
      <c r="AN32" s="18" t="inlineStr">
        <is>
          <t>)))</t>
        </is>
      </c>
      <c r="AO32" s="210">
        <f>AG32-(AI32/(1+EXP(-(AS32-AK32)/AM32)))</f>
        <v/>
      </c>
      <c r="AP32" s="162" t="n">
        <v>1850</v>
      </c>
      <c r="AQ32" s="162" t="n">
        <v>95</v>
      </c>
      <c r="AR32" s="19" t="n"/>
      <c r="AS32" s="18" t="n"/>
    </row>
    <row r="33">
      <c r="A33" s="203" t="n"/>
      <c r="B33" s="198" t="inlineStr">
        <is>
          <t>關西服務區-高原</t>
        </is>
      </c>
      <c r="C33" s="192" t="inlineStr">
        <is>
          <t>往北</t>
        </is>
      </c>
      <c r="D33" s="199">
        <f>Q33*(O33+IF(P33="Y",1,0))+N33</f>
        <v/>
      </c>
      <c r="E33" s="199" t="n">
        <v>110</v>
      </c>
      <c r="F33" s="212">
        <f>F31*J33/J31</f>
        <v/>
      </c>
      <c r="G33" s="200">
        <f>F33/D33</f>
        <v/>
      </c>
      <c r="H33" s="200" t="n">
        <v>99.90391014975042</v>
      </c>
      <c r="I33" s="100">
        <f>IF(G33&lt;=$U$4,"A",IF(G33&lt;=$U$5,"B",IF(G33&lt;=$U$6,"C",IF(G33&lt;=$U$7,"D",IF(G33&lt;=$U$8,"E","F")))))&amp;IF(H33/E33&gt;=$W$4,1,IF(H33/E33&gt;=$W$5,2,IF(H33/E33&gt;=$W$6,3,IF(H33/E33&gt;=$W$7,4,IF(H33/E33&gt;=$W$8,5,6)))))</f>
        <v/>
      </c>
      <c r="J33" s="192" t="n">
        <v>4225.4</v>
      </c>
      <c r="K33" s="200">
        <f>J33/D33</f>
        <v/>
      </c>
      <c r="L33" s="200" t="n">
        <v>98.03356847482364</v>
      </c>
      <c r="M33" s="100">
        <f>IF(K33&lt;=$U$4,"A",IF(K33&lt;=$U$5,"B",IF(K33&lt;=$U$6,"C",IF(K33&lt;=$U$7,"D",IF(K33&lt;=$U$8,"E","F")))))&amp;IF(L33/E33&gt;=$W$4,1,IF(L33/E33&gt;=$W$5,2,IF(L33/E33&gt;=$W$6,3,IF(L33/E33&gt;=$W$7,4,IF(L33/E33&gt;=$W$8,5,6)))))</f>
        <v/>
      </c>
      <c r="N33" s="208" t="n"/>
      <c r="O33" s="201" t="n">
        <v>3</v>
      </c>
      <c r="P33" s="201" t="inlineStr">
        <is>
          <t>N</t>
        </is>
      </c>
      <c r="Q33" s="201">
        <f t="array" ref="Q33">OFFSET(INDIRECT(ADDRESS(MATCH(O33&amp;P33,$AB$1:$AB$56,0),COLUMN($AB$3))),MATCH($E33,$AC$3:$AC$12,-1),14)</f>
        <v/>
      </c>
      <c r="R33" s="209" t="inlineStr">
        <is>
          <t>03F0746N</t>
        </is>
      </c>
      <c r="S33" s="208" t="n"/>
      <c r="T33" s="94" t="n"/>
      <c r="U33" s="94" t="n"/>
      <c r="V33" s="94" t="n"/>
      <c r="W33" s="94" t="n"/>
      <c r="X33" s="94" t="n"/>
      <c r="Y33" s="94" t="n"/>
      <c r="Z33" s="94" t="n"/>
      <c r="AA33" s="92" t="n">
        <v>8</v>
      </c>
      <c r="AB33" s="19" t="n"/>
      <c r="AC33" s="162" t="n">
        <v>90</v>
      </c>
      <c r="AD33" s="162" t="n">
        <v>100</v>
      </c>
      <c r="AE33" s="162" t="n">
        <v>1500</v>
      </c>
      <c r="AF33" s="112" t="inlineStr">
        <is>
          <t>V=</t>
        </is>
      </c>
      <c r="AG33" s="19" t="n">
        <v>100.34</v>
      </c>
      <c r="AH33" s="19">
        <f>"-("</f>
        <v/>
      </c>
      <c r="AI33" s="18" t="n">
        <v>14.082</v>
      </c>
      <c r="AJ33" s="18" t="inlineStr">
        <is>
          <t>/(1+EXP(-(Q-</t>
        </is>
      </c>
      <c r="AK33" s="18" t="n">
        <v>1697.6</v>
      </c>
      <c r="AL33" s="18">
        <f>")/"</f>
        <v/>
      </c>
      <c r="AM33" s="18" t="n">
        <v>450.87</v>
      </c>
      <c r="AN33" s="18" t="inlineStr">
        <is>
          <t>)))</t>
        </is>
      </c>
      <c r="AO33" s="210">
        <f>AG33-(AI33/(1+EXP(-(AS33-AK33)/AM33)))</f>
        <v/>
      </c>
      <c r="AP33" s="162" t="n">
        <v>1800</v>
      </c>
      <c r="AQ33" s="162" t="n">
        <v>90</v>
      </c>
      <c r="AR33" s="19" t="n"/>
      <c r="AS33" s="18" t="n"/>
    </row>
    <row r="34" ht="16.5" customHeight="1" s="189">
      <c r="A34" s="203" t="n"/>
      <c r="B34" s="204" t="inlineStr">
        <is>
          <t>高原-關西服務區</t>
        </is>
      </c>
      <c r="C34" s="205" t="inlineStr">
        <is>
          <t>往南</t>
        </is>
      </c>
      <c r="D34" s="206">
        <f>Q34*(O34+IF(P34="Y",1,0))+N34</f>
        <v/>
      </c>
      <c r="E34" s="206" t="n">
        <v>110</v>
      </c>
      <c r="F34" s="213">
        <f>F32*J34/J32</f>
        <v/>
      </c>
      <c r="G34" s="207">
        <f>F34/D34</f>
        <v/>
      </c>
      <c r="H34" s="207" t="n">
        <v>91.4064901793339</v>
      </c>
      <c r="I34" s="127">
        <f>IF(G34&lt;=$U$4,"A",IF(G34&lt;=$U$5,"B",IF(G34&lt;=$U$6,"C",IF(G34&lt;=$U$7,"D",IF(G34&lt;=$U$8,"E","F")))))&amp;IF(H34/E34&gt;=$W$4,1,IF(H34/E34&gt;=$W$5,2,IF(H34/E34&gt;=$W$6,3,IF(H34/E34&gt;=$W$7,4,IF(H34/E34&gt;=$W$8,5,6)))))</f>
        <v/>
      </c>
      <c r="J34" s="205" t="n">
        <v>2610.5</v>
      </c>
      <c r="K34" s="207">
        <f>J34/D34</f>
        <v/>
      </c>
      <c r="L34" s="207" t="n">
        <v>100.9107843137255</v>
      </c>
      <c r="M34" s="127">
        <f>IF(K34&lt;=$U$4,"A",IF(K34&lt;=$U$5,"B",IF(K34&lt;=$U$6,"C",IF(K34&lt;=$U$7,"D",IF(K34&lt;=$U$8,"E","F")))))&amp;IF(L34/E34&gt;=$W$4,1,IF(L34/E34&gt;=$W$5,2,IF(L34/E34&gt;=$W$6,3,IF(L34/E34&gt;=$W$7,4,IF(L34/E34&gt;=$W$8,5,6)))))</f>
        <v/>
      </c>
      <c r="N34" s="208" t="n"/>
      <c r="O34" s="201" t="n">
        <v>3</v>
      </c>
      <c r="P34" s="201" t="inlineStr">
        <is>
          <t>N</t>
        </is>
      </c>
      <c r="Q34" s="201">
        <f t="array" ref="Q34">OFFSET(INDIRECT(ADDRESS(MATCH(O34&amp;P34,$AB$1:$AB$56,0),COLUMN($AB$3))),MATCH($E34,$AC$3:$AC$12,-1),14)</f>
        <v/>
      </c>
      <c r="R34" s="209" t="inlineStr">
        <is>
          <t>03F0746S</t>
        </is>
      </c>
      <c r="S34" s="208" t="n"/>
      <c r="T34" s="94" t="n"/>
      <c r="U34" s="94" t="n"/>
      <c r="V34" s="94" t="n"/>
      <c r="W34" s="94" t="n"/>
      <c r="X34" s="94" t="n"/>
      <c r="Y34" s="94" t="n"/>
      <c r="Z34" s="94" t="n"/>
      <c r="AA34" s="92" t="n">
        <v>9</v>
      </c>
      <c r="AB34" s="19" t="n"/>
      <c r="AC34" s="162" t="n"/>
      <c r="AD34" s="162" t="n">
        <v>100</v>
      </c>
      <c r="AE34" s="162" t="n">
        <v>1800</v>
      </c>
      <c r="AF34" s="112" t="inlineStr">
        <is>
          <t>V=</t>
        </is>
      </c>
      <c r="AG34" s="19" t="n">
        <v>95.56999999999999</v>
      </c>
      <c r="AH34" s="19">
        <f>"-("</f>
        <v/>
      </c>
      <c r="AI34" s="18" t="n">
        <v>20.163</v>
      </c>
      <c r="AJ34" s="18" t="inlineStr">
        <is>
          <t>/(1+EXP(-(Q-</t>
        </is>
      </c>
      <c r="AK34" s="18" t="n">
        <v>1927.7</v>
      </c>
      <c r="AL34" s="18">
        <f>")/"</f>
        <v/>
      </c>
      <c r="AM34" s="18" t="n">
        <v>131.33</v>
      </c>
      <c r="AN34" s="18" t="inlineStr">
        <is>
          <t>)))</t>
        </is>
      </c>
      <c r="AO34" s="210">
        <f>AG34-(AI34/(1+EXP(-(AS34-AK34)/AM34)))</f>
        <v/>
      </c>
      <c r="AP34" s="162" t="n">
        <v>1800</v>
      </c>
      <c r="AQ34" s="162" t="n">
        <v>90</v>
      </c>
      <c r="AR34" s="19" t="n"/>
      <c r="AS34" s="18" t="n"/>
    </row>
    <row r="35" ht="16.5" customHeight="1" s="189">
      <c r="A35" s="203" t="n"/>
      <c r="B35" s="198" t="inlineStr">
        <is>
          <t>關西-關西服務區</t>
        </is>
      </c>
      <c r="C35" s="192" t="inlineStr">
        <is>
          <t>往北</t>
        </is>
      </c>
      <c r="D35" s="199">
        <f>Q35*(O35+IF(P35="Y",1,0))+N35</f>
        <v/>
      </c>
      <c r="E35" s="199" t="n">
        <v>110</v>
      </c>
      <c r="F35" s="192" t="n">
        <v>2415.7</v>
      </c>
      <c r="G35" s="200">
        <f>F35/D35</f>
        <v/>
      </c>
      <c r="H35" s="200" t="n">
        <v>103.6857777777778</v>
      </c>
      <c r="I35" s="100">
        <f>IF(G35&lt;=$U$4,"A",IF(G35&lt;=$U$5,"B",IF(G35&lt;=$U$6,"C",IF(G35&lt;=$U$7,"D",IF(G35&lt;=$U$8,"E","F")))))&amp;IF(H35/E35&gt;=$W$4,1,IF(H35/E35&gt;=$W$5,2,IF(H35/E35&gt;=$W$6,3,IF(H35/E35&gt;=$W$7,4,IF(H35/E35&gt;=$W$8,5,6)))))</f>
        <v/>
      </c>
      <c r="J35" s="192" t="n">
        <v>4159</v>
      </c>
      <c r="K35" s="200">
        <f>J35/D35</f>
        <v/>
      </c>
      <c r="L35" s="200" t="n">
        <v>99.62591815320042</v>
      </c>
      <c r="M35" s="100">
        <f>IF(K35&lt;=$U$4,"A",IF(K35&lt;=$U$5,"B",IF(K35&lt;=$U$6,"C",IF(K35&lt;=$U$7,"D",IF(K35&lt;=$U$8,"E","F")))))&amp;IF(L35/E35&gt;=$W$4,1,IF(L35/E35&gt;=$W$5,2,IF(L35/E35&gt;=$W$6,3,IF(L35/E35&gt;=$W$7,4,IF(L35/E35&gt;=$W$8,5,6)))))</f>
        <v/>
      </c>
      <c r="N35" s="208" t="n"/>
      <c r="O35" s="201" t="n">
        <v>3</v>
      </c>
      <c r="P35" s="201" t="inlineStr">
        <is>
          <t>N</t>
        </is>
      </c>
      <c r="Q35" s="201">
        <f t="array" ref="Q35">OFFSET(INDIRECT(ADDRESS(MATCH(O35&amp;P35,$AB$1:$AB$56,0),COLUMN($AB$3))),MATCH($E35,$AC$3:$AC$12,-1),14)</f>
        <v/>
      </c>
      <c r="R35" s="209" t="inlineStr">
        <is>
          <t>03F0783N</t>
        </is>
      </c>
      <c r="S35" s="208" t="n"/>
      <c r="T35" s="94" t="n"/>
      <c r="U35" s="94" t="n"/>
      <c r="V35" s="94" t="n"/>
      <c r="W35" s="94" t="n"/>
      <c r="X35" s="94" t="n"/>
      <c r="Y35" s="94" t="n"/>
      <c r="Z35" s="94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19" t="n"/>
      <c r="AS35" s="18" t="n"/>
    </row>
    <row r="36" ht="16.5" customHeight="1" s="189">
      <c r="A36" s="203" t="n"/>
      <c r="B36" s="204" t="inlineStr">
        <is>
          <t>關西服務區-關西</t>
        </is>
      </c>
      <c r="C36" s="205" t="inlineStr">
        <is>
          <t>往南</t>
        </is>
      </c>
      <c r="D36" s="206">
        <f>Q36*(O36+IF(P36="Y",1,0))+N36</f>
        <v/>
      </c>
      <c r="E36" s="206" t="n">
        <v>110</v>
      </c>
      <c r="F36" s="205" t="n">
        <v>4532</v>
      </c>
      <c r="G36" s="207">
        <f>F36/D36</f>
        <v/>
      </c>
      <c r="H36" s="207" t="n">
        <v>102.4795261395828</v>
      </c>
      <c r="I36" s="127">
        <f>IF(G36&lt;=$U$4,"A",IF(G36&lt;=$U$5,"B",IF(G36&lt;=$U$6,"C",IF(G36&lt;=$U$7,"D",IF(G36&lt;=$U$8,"E","F")))))&amp;IF(H36/E36&gt;=$W$4,1,IF(H36/E36&gt;=$W$5,2,IF(H36/E36&gt;=$W$6,3,IF(H36/E36&gt;=$W$7,4,IF(H36/E36&gt;=$W$8,5,6)))))</f>
        <v/>
      </c>
      <c r="J36" s="205" t="n">
        <v>2602.3</v>
      </c>
      <c r="K36" s="207">
        <f>J36/D36</f>
        <v/>
      </c>
      <c r="L36" s="207" t="n">
        <v>104.5704726056044</v>
      </c>
      <c r="M36" s="127">
        <f>IF(K36&lt;=$U$4,"A",IF(K36&lt;=$U$5,"B",IF(K36&lt;=$U$6,"C",IF(K36&lt;=$U$7,"D",IF(K36&lt;=$U$8,"E","F")))))&amp;IF(L36/E36&gt;=$W$4,1,IF(L36/E36&gt;=$W$5,2,IF(L36/E36&gt;=$W$6,3,IF(L36/E36&gt;=$W$7,4,IF(L36/E36&gt;=$W$8,5,6)))))</f>
        <v/>
      </c>
      <c r="N36" s="208" t="n"/>
      <c r="O36" s="201" t="n">
        <v>3</v>
      </c>
      <c r="P36" s="201" t="inlineStr">
        <is>
          <t>N</t>
        </is>
      </c>
      <c r="Q36" s="201">
        <f t="array" ref="Q36">OFFSET(INDIRECT(ADDRESS(MATCH(O36&amp;P36,$AB$1:$AB$56,0),COLUMN($AB$3))),MATCH($E36,$AC$3:$AC$12,-1),14)</f>
        <v/>
      </c>
      <c r="R36" s="209" t="inlineStr">
        <is>
          <t>03F0783S</t>
        </is>
      </c>
      <c r="S36" s="208" t="n"/>
      <c r="AB36" s="111" t="inlineStr">
        <is>
          <t>2Y</t>
        </is>
      </c>
      <c r="AC36" s="111" t="n"/>
      <c r="AD36" s="19" t="inlineStr">
        <is>
          <t>2車道且開放路肩平坦路段之代表性流率與速率關係</t>
        </is>
      </c>
      <c r="AE36" s="19" t="n"/>
      <c r="AF36" s="112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19" t="n"/>
      <c r="AS36" s="18" t="n"/>
    </row>
    <row r="37">
      <c r="A37" s="203" t="n"/>
      <c r="B37" s="198" t="inlineStr">
        <is>
          <t>竹林-關西</t>
        </is>
      </c>
      <c r="C37" s="192" t="inlineStr">
        <is>
          <t>往北</t>
        </is>
      </c>
      <c r="D37" s="199">
        <f>Q37*(O37+IF(P37="Y",1,0))+N37</f>
        <v/>
      </c>
      <c r="E37" s="199" t="n">
        <v>110</v>
      </c>
      <c r="F37" s="192" t="n">
        <v>2524.2</v>
      </c>
      <c r="G37" s="200">
        <f>F37/D37</f>
        <v/>
      </c>
      <c r="H37" s="200" t="n">
        <v>102.3820754716981</v>
      </c>
      <c r="I37" s="100">
        <f>IF(G37&lt;=$U$4,"A",IF(G37&lt;=$U$5,"B",IF(G37&lt;=$U$6,"C",IF(G37&lt;=$U$7,"D",IF(G37&lt;=$U$8,"E","F")))))&amp;IF(H37/E37&gt;=$W$4,1,IF(H37/E37&gt;=$W$5,2,IF(H37/E37&gt;=$W$6,3,IF(H37/E37&gt;=$W$7,4,IF(H37/E37&gt;=$W$8,5,6)))))</f>
        <v/>
      </c>
      <c r="J37" s="192" t="n">
        <v>4060.3</v>
      </c>
      <c r="K37" s="200">
        <f>J37/D37</f>
        <v/>
      </c>
      <c r="L37" s="200" t="n">
        <v>100.3042763157895</v>
      </c>
      <c r="M37" s="100">
        <f>IF(K37&lt;=$U$4,"A",IF(K37&lt;=$U$5,"B",IF(K37&lt;=$U$6,"C",IF(K37&lt;=$U$7,"D",IF(K37&lt;=$U$8,"E","F")))))&amp;IF(L37/E37&gt;=$W$4,1,IF(L37/E37&gt;=$W$5,2,IF(L37/E37&gt;=$W$6,3,IF(L37/E37&gt;=$W$7,4,IF(L37/E37&gt;=$W$8,5,6)))))</f>
        <v/>
      </c>
      <c r="N37" s="208" t="n"/>
      <c r="O37" s="201" t="n">
        <v>3</v>
      </c>
      <c r="P37" s="201" t="inlineStr">
        <is>
          <t>N</t>
        </is>
      </c>
      <c r="Q37" s="201">
        <f t="array" ref="Q37">OFFSET(INDIRECT(ADDRESS(MATCH(O37&amp;P37,$AB$1:$AB$56,0),COLUMN($AB$3))),MATCH($E37,$AC$3:$AC$12,-1),14)</f>
        <v/>
      </c>
      <c r="R37" s="209" t="inlineStr">
        <is>
          <t>03F0846N</t>
        </is>
      </c>
      <c r="S37" s="208" t="n"/>
      <c r="AA37" s="92" t="n">
        <v>1</v>
      </c>
      <c r="AB37" s="19" t="n"/>
      <c r="AC37" s="162" t="inlineStr">
        <is>
          <t>速限</t>
        </is>
      </c>
      <c r="AD37" s="162" t="inlineStr">
        <is>
          <t>自由速率Vf</t>
        </is>
      </c>
      <c r="AE37" s="162" t="inlineStr">
        <is>
          <t>流率Q</t>
        </is>
      </c>
      <c r="AF37" s="162" t="inlineStr">
        <is>
          <t>流率Q與速率V之關係</t>
        </is>
      </c>
      <c r="AO37" s="162" t="inlineStr">
        <is>
          <t>速率V</t>
        </is>
      </c>
      <c r="AP37" s="162" t="inlineStr">
        <is>
          <t>容量Qmax</t>
        </is>
      </c>
      <c r="AQ37" s="162" t="inlineStr">
        <is>
          <t>臨界速率</t>
        </is>
      </c>
      <c r="AR37" s="19" t="n"/>
      <c r="AS37" s="117" t="n"/>
      <c r="AU37" s="162" t="inlineStr">
        <is>
          <t>2N</t>
        </is>
      </c>
      <c r="AV37" s="162" t="inlineStr">
        <is>
          <t>2Y</t>
        </is>
      </c>
      <c r="AW37" s="162" t="n"/>
    </row>
    <row r="38" ht="16.5" customHeight="1" s="189">
      <c r="A38" s="203" t="n"/>
      <c r="B38" s="204" t="inlineStr">
        <is>
          <t>關西-竹林</t>
        </is>
      </c>
      <c r="C38" s="205" t="inlineStr">
        <is>
          <t>往南</t>
        </is>
      </c>
      <c r="D38" s="206">
        <f>Q38*(O38+IF(P38="Y",1,0))+N38</f>
        <v/>
      </c>
      <c r="E38" s="206" t="n">
        <v>110</v>
      </c>
      <c r="F38" s="205" t="n">
        <v>4607.4</v>
      </c>
      <c r="G38" s="207">
        <f>F38/D38</f>
        <v/>
      </c>
      <c r="H38" s="207" t="n">
        <v>101.3908013544018</v>
      </c>
      <c r="I38" s="127">
        <f>IF(G38&lt;=$U$4,"A",IF(G38&lt;=$U$5,"B",IF(G38&lt;=$U$6,"C",IF(G38&lt;=$U$7,"D",IF(G38&lt;=$U$8,"E","F")))))&amp;IF(H38/E38&gt;=$W$4,1,IF(H38/E38&gt;=$W$5,2,IF(H38/E38&gt;=$W$6,3,IF(H38/E38&gt;=$W$7,4,IF(H38/E38&gt;=$W$8,5,6)))))</f>
        <v/>
      </c>
      <c r="J38" s="205" t="n">
        <v>2562.8</v>
      </c>
      <c r="K38" s="207">
        <f>J38/D38</f>
        <v/>
      </c>
      <c r="L38" s="207" t="n">
        <v>103.5770786516854</v>
      </c>
      <c r="M38" s="127">
        <f>IF(K38&lt;=$U$4,"A",IF(K38&lt;=$U$5,"B",IF(K38&lt;=$U$6,"C",IF(K38&lt;=$U$7,"D",IF(K38&lt;=$U$8,"E","F")))))&amp;IF(L38/E38&gt;=$W$4,1,IF(L38/E38&gt;=$W$5,2,IF(L38/E38&gt;=$W$6,3,IF(L38/E38&gt;=$W$7,4,IF(L38/E38&gt;=$W$8,5,6)))))</f>
        <v/>
      </c>
      <c r="N38" s="208" t="n"/>
      <c r="O38" s="201" t="n">
        <v>3</v>
      </c>
      <c r="P38" s="201" t="inlineStr">
        <is>
          <t>N</t>
        </is>
      </c>
      <c r="Q38" s="201">
        <f t="array" ref="Q38">OFFSET(INDIRECT(ADDRESS(MATCH(O38&amp;P38,$AB$1:$AB$56,0),COLUMN($AB$3))),MATCH($E38,$AC$3:$AC$12,-1),14)</f>
        <v/>
      </c>
      <c r="R38" s="209" t="inlineStr">
        <is>
          <t>03F0846S</t>
        </is>
      </c>
      <c r="S38" s="211" t="n"/>
      <c r="AA38" s="92" t="n">
        <v>2</v>
      </c>
      <c r="AB38" s="19" t="n"/>
      <c r="AC38" s="162" t="n">
        <v>110</v>
      </c>
      <c r="AD38" s="162" t="n">
        <v>115</v>
      </c>
      <c r="AE38" s="162" t="n">
        <v>1500</v>
      </c>
      <c r="AF38" s="112" t="inlineStr">
        <is>
          <t>V=</t>
        </is>
      </c>
      <c r="AG38" s="19" t="n">
        <v>117.17</v>
      </c>
      <c r="AH38" s="19">
        <f>"-("</f>
        <v/>
      </c>
      <c r="AI38" s="18" t="n">
        <v>37.722</v>
      </c>
      <c r="AJ38" s="18" t="inlineStr">
        <is>
          <t>/(1+EXP(-(Q-</t>
        </is>
      </c>
      <c r="AK38" s="18" t="n">
        <v>2105.2</v>
      </c>
      <c r="AL38" s="18">
        <f>")/"</f>
        <v/>
      </c>
      <c r="AM38" s="18" t="n">
        <v>751.37</v>
      </c>
      <c r="AN38" s="18" t="inlineStr">
        <is>
          <t>)))</t>
        </is>
      </c>
      <c r="AO38" s="210">
        <f>AG38-(AI38/(1+EXP(-(AS38-AK38)/AM38)))</f>
        <v/>
      </c>
      <c r="AP38" s="162" t="n">
        <v>1730</v>
      </c>
      <c r="AQ38" s="162" t="n">
        <v>100</v>
      </c>
      <c r="AR38" s="19" t="n"/>
      <c r="AS38" s="18" t="n"/>
      <c r="AU38" s="162">
        <f>AP5*2</f>
        <v/>
      </c>
      <c r="AV38" s="162">
        <f>AP38*3</f>
        <v/>
      </c>
      <c r="AW38" s="162">
        <f>AV38-AU38</f>
        <v/>
      </c>
    </row>
    <row r="39">
      <c r="A39" s="203" t="n"/>
      <c r="B39" s="198" t="inlineStr">
        <is>
          <t>寶山-竹林</t>
        </is>
      </c>
      <c r="C39" s="192" t="inlineStr">
        <is>
          <t>往北</t>
        </is>
      </c>
      <c r="D39" s="199">
        <f>Q39*(O39+IF(P39="Y",1,0))+N39</f>
        <v/>
      </c>
      <c r="E39" s="199" t="n">
        <v>110</v>
      </c>
      <c r="F39" s="192" t="n">
        <v>2375.9</v>
      </c>
      <c r="G39" s="200">
        <f>F39/D39</f>
        <v/>
      </c>
      <c r="H39" s="200" t="n">
        <v>97.15391747797868</v>
      </c>
      <c r="I39" s="100">
        <f>IF(G39&lt;=$U$4,"A",IF(G39&lt;=$U$5,"B",IF(G39&lt;=$U$6,"C",IF(G39&lt;=$U$7,"D",IF(G39&lt;=$U$8,"E","F")))))&amp;IF(H39/E39&gt;=$W$4,1,IF(H39/E39&gt;=$W$5,2,IF(H39/E39&gt;=$W$6,3,IF(H39/E39&gt;=$W$7,4,IF(H39/E39&gt;=$W$8,5,6)))))</f>
        <v/>
      </c>
      <c r="J39" s="192" t="n">
        <v>4002.5</v>
      </c>
      <c r="K39" s="200">
        <f>J39/D39</f>
        <v/>
      </c>
      <c r="L39" s="200" t="n">
        <v>97.40937603169363</v>
      </c>
      <c r="M39" s="100">
        <f>IF(K39&lt;=$U$4,"A",IF(K39&lt;=$U$5,"B",IF(K39&lt;=$U$6,"C",IF(K39&lt;=$U$7,"D",IF(K39&lt;=$U$8,"E","F")))))&amp;IF(L39/E39&gt;=$W$4,1,IF(L39/E39&gt;=$W$5,2,IF(L39/E39&gt;=$W$6,3,IF(L39/E39&gt;=$W$7,4,IF(L39/E39&gt;=$W$8,5,6)))))</f>
        <v/>
      </c>
      <c r="N39" s="208" t="n"/>
      <c r="O39" s="201" t="n">
        <v>3</v>
      </c>
      <c r="P39" s="201" t="inlineStr">
        <is>
          <t>N</t>
        </is>
      </c>
      <c r="Q39" s="201">
        <f t="array" ref="Q39">OFFSET(INDIRECT(ADDRESS(MATCH(O39&amp;P39,$AB$1:$AB$56,0),COLUMN($AB$3))),MATCH($E39,$AC$3:$AC$12,-1),14)</f>
        <v/>
      </c>
      <c r="R39" s="209" t="inlineStr">
        <is>
          <t>03F0961N</t>
        </is>
      </c>
      <c r="S39" s="211" t="n"/>
      <c r="AA39" s="92" t="n">
        <v>3</v>
      </c>
      <c r="AB39" s="19" t="n"/>
      <c r="AC39" s="162" t="n"/>
      <c r="AD39" s="162" t="n">
        <v>115</v>
      </c>
      <c r="AE39" s="162" t="n">
        <v>1730</v>
      </c>
      <c r="AF39" s="112" t="inlineStr">
        <is>
          <t>V=</t>
        </is>
      </c>
      <c r="AG39" s="19" t="n">
        <v>110.01</v>
      </c>
      <c r="AH39" s="19">
        <f>"-("</f>
        <v/>
      </c>
      <c r="AI39" s="18" t="n">
        <v>23.71</v>
      </c>
      <c r="AJ39" s="18" t="inlineStr">
        <is>
          <t>/(1+EXP(-(Q-</t>
        </is>
      </c>
      <c r="AK39" s="18" t="n">
        <v>1947.9</v>
      </c>
      <c r="AL39" s="18">
        <f>")/"</f>
        <v/>
      </c>
      <c r="AM39" s="18" t="n">
        <v>309.48</v>
      </c>
      <c r="AN39" s="18" t="inlineStr">
        <is>
          <t>)))</t>
        </is>
      </c>
      <c r="AO39" s="210">
        <f>AG39-(AI39/(1+EXP(-(AS39-AK39)/AM39)))</f>
        <v/>
      </c>
      <c r="AP39" s="162" t="n">
        <v>1730</v>
      </c>
      <c r="AQ39" s="162" t="n">
        <v>100</v>
      </c>
      <c r="AR39" s="19" t="n"/>
      <c r="AS39" s="18" t="n"/>
      <c r="AU39" s="162">
        <f>AP6*2</f>
        <v/>
      </c>
      <c r="AV39" s="162">
        <f>AP39*3</f>
        <v/>
      </c>
      <c r="AW39" s="162">
        <f>AV39-AU39</f>
        <v/>
      </c>
    </row>
    <row r="40">
      <c r="A40" s="196" t="n"/>
      <c r="B40" s="204" t="inlineStr">
        <is>
          <t>竹林-寶山</t>
        </is>
      </c>
      <c r="C40" s="205" t="inlineStr">
        <is>
          <t>往南</t>
        </is>
      </c>
      <c r="D40" s="206">
        <f>Q40*(O40+IF(P40="Y",1,0))+N40</f>
        <v/>
      </c>
      <c r="E40" s="206" t="n">
        <v>110</v>
      </c>
      <c r="F40" s="205" t="n">
        <v>4705.8</v>
      </c>
      <c r="G40" s="207">
        <f>F40/D40</f>
        <v/>
      </c>
      <c r="H40" s="207" t="n">
        <v>99.05777932474766</v>
      </c>
      <c r="I40" s="127">
        <f>IF(G40&lt;=$U$4,"A",IF(G40&lt;=$U$5,"B",IF(G40&lt;=$U$6,"C",IF(G40&lt;=$U$7,"D",IF(G40&lt;=$U$8,"E","F")))))&amp;IF(H40/E40&gt;=$W$4,1,IF(H40/E40&gt;=$W$5,2,IF(H40/E40&gt;=$W$6,3,IF(H40/E40&gt;=$W$7,4,IF(H40/E40&gt;=$W$8,5,6)))))</f>
        <v/>
      </c>
      <c r="J40" s="205" t="n">
        <v>2285</v>
      </c>
      <c r="K40" s="207">
        <f>J40/D40</f>
        <v/>
      </c>
      <c r="L40" s="207" t="n">
        <v>103.4058971141782</v>
      </c>
      <c r="M40" s="127">
        <f>IF(K40&lt;=$U$4,"A",IF(K40&lt;=$U$5,"B",IF(K40&lt;=$U$6,"C",IF(K40&lt;=$U$7,"D",IF(K40&lt;=$U$8,"E","F")))))&amp;IF(L40/E40&gt;=$W$4,1,IF(L40/E40&gt;=$W$5,2,IF(L40/E40&gt;=$W$6,3,IF(L40/E40&gt;=$W$7,4,IF(L40/E40&gt;=$W$8,5,6)))))</f>
        <v/>
      </c>
      <c r="N40" s="208" t="n"/>
      <c r="O40" s="201" t="n">
        <v>3</v>
      </c>
      <c r="P40" s="201" t="inlineStr">
        <is>
          <t>N</t>
        </is>
      </c>
      <c r="Q40" s="201">
        <f t="array" ref="Q40">OFFSET(INDIRECT(ADDRESS(MATCH(O40&amp;P40,$AB$1:$AB$56,0),COLUMN($AB$3))),MATCH($E40,$AC$3:$AC$12,-1),14)</f>
        <v/>
      </c>
      <c r="R40" s="209" t="inlineStr">
        <is>
          <t>03F0961S</t>
        </is>
      </c>
      <c r="S40" s="214" t="n"/>
      <c r="AA40" s="92" t="n">
        <v>4</v>
      </c>
      <c r="AB40" s="19" t="n"/>
      <c r="AC40" s="162" t="n"/>
      <c r="AD40" s="162" t="n">
        <v>110</v>
      </c>
      <c r="AE40" s="162" t="n">
        <v>1500</v>
      </c>
      <c r="AF40" s="112" t="inlineStr">
        <is>
          <t>V=</t>
        </is>
      </c>
      <c r="AG40" s="19" t="n">
        <v>111.62</v>
      </c>
      <c r="AH40" s="19">
        <f>"-("</f>
        <v/>
      </c>
      <c r="AI40" s="18" t="n">
        <v>31.37</v>
      </c>
      <c r="AJ40" s="18" t="inlineStr">
        <is>
          <t>/(1+EXP(-(Q-</t>
        </is>
      </c>
      <c r="AK40" s="18" t="n">
        <v>1839.4</v>
      </c>
      <c r="AL40" s="18">
        <f>")/"</f>
        <v/>
      </c>
      <c r="AM40" s="18" t="n">
        <v>634.26</v>
      </c>
      <c r="AN40" s="18" t="inlineStr">
        <is>
          <t>)))</t>
        </is>
      </c>
      <c r="AO40" s="210">
        <f>AG40-(AI40/(1+EXP(-(AS40-AK40)/AM40)))</f>
        <v/>
      </c>
      <c r="AP40" s="162" t="n">
        <v>1700</v>
      </c>
      <c r="AQ40" s="162" t="n">
        <v>95</v>
      </c>
      <c r="AR40" s="19" t="n"/>
      <c r="AS40" s="18" t="n"/>
      <c r="AU40" s="162">
        <f>AP7*2</f>
        <v/>
      </c>
      <c r="AV40" s="162">
        <f>AP40*3</f>
        <v/>
      </c>
      <c r="AW40" s="162">
        <f>AV40-AU40</f>
        <v/>
      </c>
    </row>
    <row r="41">
      <c r="Q41" s="208" t="n"/>
      <c r="AA41" s="92" t="n">
        <v>5</v>
      </c>
      <c r="AB41" s="19" t="n"/>
      <c r="AC41" s="162" t="n"/>
      <c r="AD41" s="162" t="n">
        <v>110</v>
      </c>
      <c r="AE41" s="162" t="n">
        <v>1700</v>
      </c>
      <c r="AF41" s="112" t="inlineStr">
        <is>
          <t>V=</t>
        </is>
      </c>
      <c r="AG41" s="19" t="n">
        <v>104.32</v>
      </c>
      <c r="AH41" s="19">
        <f>"-("</f>
        <v/>
      </c>
      <c r="AI41" s="18" t="n">
        <v>18.464</v>
      </c>
      <c r="AJ41" s="18" t="inlineStr">
        <is>
          <t>/(1+EXP(-(Q-</t>
        </is>
      </c>
      <c r="AK41" s="18" t="n">
        <v>1794.7</v>
      </c>
      <c r="AL41" s="18">
        <f>")/"</f>
        <v/>
      </c>
      <c r="AM41" s="18" t="n">
        <v>246.49</v>
      </c>
      <c r="AN41" s="18" t="inlineStr">
        <is>
          <t>)))</t>
        </is>
      </c>
      <c r="AO41" s="210">
        <f>AG41-(AI41/(1+EXP(-(AS41-AK41)/AM41)))</f>
        <v/>
      </c>
      <c r="AP41" s="162" t="n">
        <v>1700</v>
      </c>
      <c r="AQ41" s="162" t="n">
        <v>95</v>
      </c>
      <c r="AR41" s="19" t="n"/>
      <c r="AS41" s="18" t="n"/>
      <c r="AU41" s="162">
        <f>AP8*2</f>
        <v/>
      </c>
      <c r="AV41" s="162">
        <f>AP41*3</f>
        <v/>
      </c>
      <c r="AW41" s="162">
        <f>AV41-AU41</f>
        <v/>
      </c>
    </row>
    <row r="42">
      <c r="Q42" s="208" t="n"/>
      <c r="AA42" s="92" t="n">
        <v>6</v>
      </c>
      <c r="AB42" s="19" t="n"/>
      <c r="AC42" s="162" t="n">
        <v>100</v>
      </c>
      <c r="AD42" s="162" t="n">
        <v>105</v>
      </c>
      <c r="AE42" s="162" t="n">
        <v>1500</v>
      </c>
      <c r="AF42" s="112" t="inlineStr">
        <is>
          <t>V=</t>
        </is>
      </c>
      <c r="AG42" s="19" t="n">
        <v>106.73</v>
      </c>
      <c r="AH42" s="19">
        <f>"-("</f>
        <v/>
      </c>
      <c r="AI42" s="18" t="n">
        <v>30.714</v>
      </c>
      <c r="AJ42" s="18" t="inlineStr">
        <is>
          <t>/(1+EXP(-(Q-</t>
        </is>
      </c>
      <c r="AK42" s="18" t="n">
        <v>1746.1</v>
      </c>
      <c r="AL42" s="18">
        <f>")/"</f>
        <v/>
      </c>
      <c r="AM42" s="18" t="n">
        <v>611.5</v>
      </c>
      <c r="AN42" s="18" t="inlineStr">
        <is>
          <t>)))</t>
        </is>
      </c>
      <c r="AO42" s="210">
        <f>AG42-(AI42/(1+EXP(-(AS42-AK42)/AM42)))</f>
        <v/>
      </c>
      <c r="AP42" s="162" t="n">
        <v>1670</v>
      </c>
      <c r="AQ42" s="162" t="n">
        <v>90</v>
      </c>
      <c r="AR42" s="19" t="n"/>
      <c r="AS42" s="18" t="n"/>
      <c r="AU42" s="162">
        <f>AP9*2</f>
        <v/>
      </c>
      <c r="AV42" s="162">
        <f>AP42*3</f>
        <v/>
      </c>
      <c r="AW42" s="162">
        <f>AV42-AU42</f>
        <v/>
      </c>
    </row>
    <row r="43">
      <c r="A43" s="193" t="inlineStr">
        <is>
          <t>國道2號</t>
        </is>
      </c>
      <c r="B43" s="216" t="inlineStr">
        <is>
          <t>桃園機場交流道-大園交流道</t>
        </is>
      </c>
      <c r="C43" s="212" t="inlineStr">
        <is>
          <t>往東</t>
        </is>
      </c>
      <c r="D43" s="212">
        <f>Q43*(O43+IF(P43="Y",1,0))+N43</f>
        <v/>
      </c>
      <c r="E43" s="212" t="n">
        <v>80</v>
      </c>
      <c r="F43" s="212" t="n">
        <v>2408.3</v>
      </c>
      <c r="G43" s="217">
        <f>F43/D43</f>
        <v/>
      </c>
      <c r="H43" s="217" t="n">
        <v>69.81695423855965</v>
      </c>
      <c r="I43" s="138">
        <f>IF(G43&lt;=$U$4,"A",IF(G43&lt;=$U$5,"B",IF(G43&lt;=$U$6,"C",IF(G43&lt;=$U$7,"D",IF(G43&lt;=$U$8,"E","F")))))&amp;IF(H43/E43&gt;=$W$4,1,IF(H43/E43&gt;=$W$5,2,IF(H43/E43&gt;=$W$6,3,IF(H43/E43&gt;=$W$7,4,IF(H43/E43&gt;=$W$8,5,6)))))</f>
        <v/>
      </c>
      <c r="J43" s="212" t="n">
        <v>4066.5</v>
      </c>
      <c r="K43" s="217">
        <f>J43/D43</f>
        <v/>
      </c>
      <c r="L43" s="217" t="n">
        <v>68.21115335868187</v>
      </c>
      <c r="M43" s="138">
        <f>IF(K43&lt;=$U$4,"A",IF(K43&lt;=$U$5,"B",IF(K43&lt;=$U$6,"C",IF(K43&lt;=$U$7,"D",IF(K43&lt;=$U$8,"E","F")))))&amp;IF(L43/E43&gt;=$W$4,1,IF(L43/E43&gt;=$W$5,2,IF(L43/E43&gt;=$W$6,3,IF(L43/E43&gt;=$W$7,4,IF(L43/E43&gt;=$W$8,5,6)))))</f>
        <v/>
      </c>
      <c r="N43" s="201" t="n"/>
      <c r="O43" s="201" t="n">
        <v>3</v>
      </c>
      <c r="P43" s="201" t="inlineStr">
        <is>
          <t>N</t>
        </is>
      </c>
      <c r="Q43" s="201">
        <f t="array" ref="Q43">OFFSET(INDIRECT(ADDRESS(MATCH(O43&amp;P43,$AB$1:$AB$56,0),COLUMN($AB$3))),MATCH($E43,$AC$3:$AC$12,-1),14)</f>
        <v/>
      </c>
      <c r="R43" s="214" t="inlineStr">
        <is>
          <t>VD-N2-E-0.000-M-LOOP</t>
        </is>
      </c>
      <c r="S43" s="214" t="n"/>
      <c r="AA43" s="92" t="n">
        <v>7</v>
      </c>
      <c r="AB43" s="19" t="n"/>
      <c r="AC43" s="162" t="n"/>
      <c r="AD43" s="162" t="n">
        <v>105</v>
      </c>
      <c r="AE43" s="162" t="n">
        <v>1670</v>
      </c>
      <c r="AF43" s="112" t="inlineStr">
        <is>
          <t>V=</t>
        </is>
      </c>
      <c r="AG43" s="19" t="n">
        <v>99.65000000000001</v>
      </c>
      <c r="AH43" s="19">
        <f>"-("</f>
        <v/>
      </c>
      <c r="AI43" s="18" t="n">
        <v>33.186</v>
      </c>
      <c r="AJ43" s="18" t="inlineStr">
        <is>
          <t>/(1+EXP(-(Q-</t>
        </is>
      </c>
      <c r="AK43" s="18" t="n">
        <v>2015.8</v>
      </c>
      <c r="AL43" s="18">
        <f>")/"</f>
        <v/>
      </c>
      <c r="AM43" s="18" t="n">
        <v>298.08</v>
      </c>
      <c r="AN43" s="18" t="inlineStr">
        <is>
          <t>)))</t>
        </is>
      </c>
      <c r="AO43" s="210">
        <f>AG43-(AI43/(1+EXP(-(AS43-AK43)/AM43)))</f>
        <v/>
      </c>
      <c r="AP43" s="162" t="n">
        <v>1670</v>
      </c>
      <c r="AQ43" s="162" t="n">
        <v>90</v>
      </c>
      <c r="AR43" s="19" t="n"/>
      <c r="AS43" s="18" t="n"/>
      <c r="AU43" s="162">
        <f>AP10*2</f>
        <v/>
      </c>
      <c r="AV43" s="162">
        <f>AP43*3</f>
        <v/>
      </c>
      <c r="AW43" s="162">
        <f>AV43-AU43</f>
        <v/>
      </c>
    </row>
    <row r="44">
      <c r="A44" s="203" t="n"/>
      <c r="B44" s="218" t="inlineStr">
        <is>
          <t>大園交流道-桃園機場交流道</t>
        </is>
      </c>
      <c r="C44" s="213" t="inlineStr">
        <is>
          <t>往西</t>
        </is>
      </c>
      <c r="D44" s="213">
        <f>Q44*(O44+IF(P44="Y",1,0))+N44</f>
        <v/>
      </c>
      <c r="E44" s="213" t="n">
        <v>80</v>
      </c>
      <c r="F44" s="213" t="n">
        <v>4128.200000000001</v>
      </c>
      <c r="G44" s="219">
        <f>F44/D44</f>
        <v/>
      </c>
      <c r="H44" s="219" t="n">
        <v>72.54613030170529</v>
      </c>
      <c r="I44" s="140">
        <f>IF(G44&lt;=$U$4,"A",IF(G44&lt;=$U$5,"B",IF(G44&lt;=$U$6,"C",IF(G44&lt;=$U$7,"D",IF(G44&lt;=$U$8,"E","F")))))&amp;IF(H44/E44&gt;=$W$4,1,IF(H44/E44&gt;=$W$5,2,IF(H44/E44&gt;=$W$6,3,IF(H44/E44&gt;=$W$7,4,IF(H44/E44&gt;=$W$8,5,6)))))</f>
        <v/>
      </c>
      <c r="J44" s="213" t="n">
        <v>2003.1</v>
      </c>
      <c r="K44" s="219">
        <f>J44/D44</f>
        <v/>
      </c>
      <c r="L44" s="219" t="n">
        <v>75.67765567765568</v>
      </c>
      <c r="M44" s="140">
        <f>IF(K44&lt;=$U$4,"A",IF(K44&lt;=$U$5,"B",IF(K44&lt;=$U$6,"C",IF(K44&lt;=$U$7,"D",IF(K44&lt;=$U$8,"E","F")))))&amp;IF(L44/E44&gt;=$W$4,1,IF(L44/E44&gt;=$W$5,2,IF(L44/E44&gt;=$W$6,3,IF(L44/E44&gt;=$W$7,4,IF(L44/E44&gt;=$W$8,5,6)))))</f>
        <v/>
      </c>
      <c r="N44" s="201" t="n"/>
      <c r="O44" s="201" t="n">
        <v>3</v>
      </c>
      <c r="P44" s="201" t="inlineStr">
        <is>
          <t>N</t>
        </is>
      </c>
      <c r="Q44" s="201">
        <f t="array" ref="Q44">OFFSET(INDIRECT(ADDRESS(MATCH(O44&amp;P44,$AB$1:$AB$56,0),COLUMN($AB$3))),MATCH($E44,$AC$3:$AC$12,-1),14)</f>
        <v/>
      </c>
      <c r="R44" s="214" t="inlineStr">
        <is>
          <t>VD-N2-W-0.020-M-LOOP</t>
        </is>
      </c>
      <c r="S44" s="214" t="n"/>
      <c r="AA44" s="92" t="n">
        <v>8</v>
      </c>
      <c r="AB44" s="19" t="n"/>
      <c r="AC44" s="162" t="n">
        <v>90</v>
      </c>
      <c r="AD44" s="162" t="n">
        <v>100</v>
      </c>
      <c r="AE44" s="162" t="n">
        <v>1500</v>
      </c>
      <c r="AF44" s="112" t="inlineStr">
        <is>
          <t>V=</t>
        </is>
      </c>
      <c r="AG44" s="19" t="n">
        <v>101.32</v>
      </c>
      <c r="AH44" s="19">
        <f>"-("</f>
        <v/>
      </c>
      <c r="AI44" s="18" t="n">
        <v>32.721</v>
      </c>
      <c r="AJ44" s="18" t="inlineStr">
        <is>
          <t>/(1+EXP(-(Q-</t>
        </is>
      </c>
      <c r="AK44" s="18" t="n">
        <v>1812.8</v>
      </c>
      <c r="AL44" s="18">
        <f>")/"</f>
        <v/>
      </c>
      <c r="AM44" s="18" t="n">
        <v>567.22</v>
      </c>
      <c r="AN44" s="18" t="inlineStr">
        <is>
          <t>)))</t>
        </is>
      </c>
      <c r="AO44" s="210">
        <f>AG44-(AI44/(1+EXP(-(AS44-AK44)/AM44)))</f>
        <v/>
      </c>
      <c r="AP44" s="162" t="n">
        <v>1630</v>
      </c>
      <c r="AQ44" s="162" t="n">
        <v>85</v>
      </c>
      <c r="AR44" s="19" t="n"/>
      <c r="AS44" s="18" t="n"/>
      <c r="AU44" s="162">
        <f>AP11*2</f>
        <v/>
      </c>
      <c r="AV44" s="162">
        <f>AP44*3</f>
        <v/>
      </c>
      <c r="AW44" s="162">
        <f>AV44-AU44</f>
        <v/>
      </c>
    </row>
    <row r="45">
      <c r="A45" s="203" t="n"/>
      <c r="B45" s="220" t="inlineStr">
        <is>
          <t>大園交流道-大竹交流道</t>
        </is>
      </c>
      <c r="C45" s="221" t="inlineStr">
        <is>
          <t>往東</t>
        </is>
      </c>
      <c r="D45" s="222">
        <f>Q45*(O45+IF(P45="Y",1,0))+N45</f>
        <v/>
      </c>
      <c r="E45" s="222" t="n">
        <v>100</v>
      </c>
      <c r="F45" s="223" t="n">
        <v>4780.600000000001</v>
      </c>
      <c r="G45" s="224">
        <f>F45/D45</f>
        <v/>
      </c>
      <c r="H45" s="224" t="n">
        <v>90.51340373679935</v>
      </c>
      <c r="I45" s="158">
        <f>IF(G45&lt;=$U$4,"A",IF(G45&lt;=$U$5,"B",IF(G45&lt;=$U$6,"C",IF(G45&lt;=$U$7,"D",IF(G45&lt;=$U$8,"E","F")))))&amp;IF(H45/E45&gt;=$W$4,1,IF(H45/E45&gt;=$W$5,2,IF(H45/E45&gt;=$W$6,3,IF(H45/E45&gt;=$W$7,4,IF(H45/E45&gt;=$W$8,5,6)))))</f>
        <v/>
      </c>
      <c r="J45" s="223" t="n">
        <v>7904.900000000001</v>
      </c>
      <c r="K45" s="224">
        <f>J45/D45</f>
        <v/>
      </c>
      <c r="L45" s="224" t="n">
        <v>46.97345920912006</v>
      </c>
      <c r="M45" s="158">
        <f>IF(K45&lt;=$U$4,"A",IF(K45&lt;=$U$5,"B",IF(K45&lt;=$U$6,"C",IF(K45&lt;=$U$7,"D",IF(K45&lt;=$U$8,"E","F")))))&amp;IF(L45/E45&gt;=$W$4,1,IF(L45/E45&gt;=$W$5,2,IF(L45/E45&gt;=$W$6,3,IF(L45/E45&gt;=$W$7,4,IF(L45/E45&gt;=$W$8,5,6)))))</f>
        <v/>
      </c>
      <c r="N45" s="208" t="n"/>
      <c r="O45" s="201" t="n">
        <v>4</v>
      </c>
      <c r="P45" s="201" t="inlineStr">
        <is>
          <t>N</t>
        </is>
      </c>
      <c r="Q45" s="201">
        <f t="array" ref="Q45">OFFSET(INDIRECT(ADDRESS(MATCH(O45&amp;P45,$AB$1:$AB$56,0),COLUMN($AB$3))),MATCH($E45,$AC$3:$AC$12,-1),14)</f>
        <v/>
      </c>
      <c r="R45" s="214" t="inlineStr">
        <is>
          <t>VD-N2-E-2.230-M-RS</t>
        </is>
      </c>
      <c r="S45" s="214" t="n"/>
      <c r="AA45" s="92" t="n">
        <v>9</v>
      </c>
      <c r="AB45" s="19" t="n"/>
      <c r="AC45" s="162" t="n"/>
      <c r="AD45" s="162" t="n">
        <v>100</v>
      </c>
      <c r="AE45" s="162" t="n">
        <v>1630</v>
      </c>
      <c r="AF45" s="112" t="inlineStr">
        <is>
          <t>V=</t>
        </is>
      </c>
      <c r="AG45" s="19" t="n">
        <v>92.898</v>
      </c>
      <c r="AH45" s="19">
        <f>"-("</f>
        <v/>
      </c>
      <c r="AI45" s="18" t="n">
        <v>18.886</v>
      </c>
      <c r="AJ45" s="18" t="inlineStr">
        <is>
          <t>/(1+EXP(-(Q-</t>
        </is>
      </c>
      <c r="AK45" s="18" t="n">
        <v>1759.1</v>
      </c>
      <c r="AL45" s="18">
        <f>")/"</f>
        <v/>
      </c>
      <c r="AM45" s="18" t="n">
        <v>177.7</v>
      </c>
      <c r="AN45" s="18" t="inlineStr">
        <is>
          <t>)))</t>
        </is>
      </c>
      <c r="AO45" s="210">
        <f>AG45-(AI45/(1+EXP(-(AS45-AK45)/AM45)))</f>
        <v/>
      </c>
      <c r="AP45" s="162" t="n">
        <v>1630</v>
      </c>
      <c r="AQ45" s="162" t="n">
        <v>85</v>
      </c>
      <c r="AR45" s="19" t="n"/>
      <c r="AS45" s="18" t="n"/>
      <c r="AU45" s="162">
        <f>AP12*2</f>
        <v/>
      </c>
      <c r="AV45" s="162">
        <f>AP45*3</f>
        <v/>
      </c>
      <c r="AW45" s="162">
        <f>AV45-AU45</f>
        <v/>
      </c>
    </row>
    <row r="46">
      <c r="A46" s="203" t="n"/>
      <c r="B46" s="225" t="inlineStr">
        <is>
          <t>大竹交流道-大園交流道</t>
        </is>
      </c>
      <c r="C46" s="226" t="inlineStr">
        <is>
          <t>往西</t>
        </is>
      </c>
      <c r="D46" s="206">
        <f>Q46*(O46+IF(P46="Y",1,0))+N46</f>
        <v/>
      </c>
      <c r="E46" s="206" t="n">
        <v>100</v>
      </c>
      <c r="F46" s="205" t="n">
        <v>6663.200000000001</v>
      </c>
      <c r="G46" s="207">
        <f>F46/D46</f>
        <v/>
      </c>
      <c r="H46" s="207" t="n">
        <v>81.46104827146726</v>
      </c>
      <c r="I46" s="127">
        <f>IF(G46&lt;=$U$4,"A",IF(G46&lt;=$U$5,"B",IF(G46&lt;=$U$6,"C",IF(G46&lt;=$U$7,"D",IF(G46&lt;=$U$8,"E","F")))))&amp;IF(H46/E46&gt;=$W$4,1,IF(H46/E46&gt;=$W$5,2,IF(H46/E46&gt;=$W$6,3,IF(H46/E46&gt;=$W$7,4,IF(H46/E46&gt;=$W$8,5,6)))))</f>
        <v/>
      </c>
      <c r="J46" s="205" t="n">
        <v>3436.7</v>
      </c>
      <c r="K46" s="207">
        <f>J46/D46</f>
        <v/>
      </c>
      <c r="L46" s="207" t="n">
        <v>86.91695721077654</v>
      </c>
      <c r="M46" s="127">
        <f>IF(K46&lt;=$U$4,"A",IF(K46&lt;=$U$5,"B",IF(K46&lt;=$U$6,"C",IF(K46&lt;=$U$7,"D",IF(K46&lt;=$U$8,"E","F")))))&amp;IF(L46/E46&gt;=$W$4,1,IF(L46/E46&gt;=$W$5,2,IF(L46/E46&gt;=$W$6,3,IF(L46/E46&gt;=$W$7,4,IF(L46/E46&gt;=$W$8,5,6)))))</f>
        <v/>
      </c>
      <c r="N46" s="208" t="n"/>
      <c r="O46" s="201" t="n">
        <v>4</v>
      </c>
      <c r="P46" s="201" t="inlineStr">
        <is>
          <t>N</t>
        </is>
      </c>
      <c r="Q46" s="201">
        <f t="array" ref="Q46">OFFSET(INDIRECT(ADDRESS(MATCH(O46&amp;P46,$AB$1:$AB$56,0),COLUMN($AB$3))),MATCH($E46,$AC$3:$AC$12,-1),14)</f>
        <v/>
      </c>
      <c r="R46" s="214" t="inlineStr">
        <is>
          <t>VD-N2-W-2.270-M-LOOP</t>
        </is>
      </c>
      <c r="S46" s="214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19" t="n"/>
      <c r="AS46" s="18" t="n"/>
      <c r="AU46" s="162" t="n"/>
      <c r="AV46" s="162" t="n"/>
      <c r="AW46" s="23">
        <f>AVERAGE(AW38:AW45)</f>
        <v/>
      </c>
    </row>
    <row r="47">
      <c r="A47" s="203" t="n"/>
      <c r="B47" s="227" t="inlineStr">
        <is>
          <t>大園交流道-大竹交流道</t>
        </is>
      </c>
      <c r="C47" s="228" t="inlineStr">
        <is>
          <t>往東</t>
        </is>
      </c>
      <c r="D47" s="212">
        <f>Q47*(O47+IF(P47="Y",1,0))+N47</f>
        <v/>
      </c>
      <c r="E47" s="212" t="n">
        <v>100</v>
      </c>
      <c r="F47" s="212" t="n">
        <v>4039.699999999999</v>
      </c>
      <c r="G47" s="217">
        <f>F47/D47</f>
        <v/>
      </c>
      <c r="H47" s="217" t="n">
        <v>91.13851167843563</v>
      </c>
      <c r="I47" s="138">
        <f>IF(G47&lt;=$U$4,"A",IF(G47&lt;=$U$5,"B",IF(G47&lt;=$U$6,"C",IF(G47&lt;=$U$7,"D",IF(G47&lt;=$U$8,"E","F")))))&amp;IF(H47/E47&gt;=$W$4,1,IF(H47/E47&gt;=$W$5,2,IF(H47/E47&gt;=$W$6,3,IF(H47/E47&gt;=$W$7,4,IF(H47/E47&gt;=$W$8,5,6)))))</f>
        <v/>
      </c>
      <c r="J47" s="212" t="n">
        <v>5950.8</v>
      </c>
      <c r="K47" s="217">
        <f>J47/D47</f>
        <v/>
      </c>
      <c r="L47" s="217" t="n">
        <v>43.59038699416858</v>
      </c>
      <c r="M47" s="138">
        <f>IF(K47&lt;=$U$4,"A",IF(K47&lt;=$U$5,"B",IF(K47&lt;=$U$6,"C",IF(K47&lt;=$U$7,"D",IF(K47&lt;=$U$8,"E","F")))))&amp;IF(L47/E47&gt;=$W$4,1,IF(L47/E47&gt;=$W$5,2,IF(L47/E47&gt;=$W$6,3,IF(L47/E47&gt;=$W$7,4,IF(L47/E47&gt;=$W$8,5,6)))))</f>
        <v/>
      </c>
      <c r="N47" s="208" t="n"/>
      <c r="O47" s="201" t="n">
        <v>4</v>
      </c>
      <c r="P47" s="201" t="inlineStr">
        <is>
          <t>N</t>
        </is>
      </c>
      <c r="Q47" s="201">
        <f t="array" ref="Q47">OFFSET(INDIRECT(ADDRESS(MATCH(O47&amp;P47,$AB$1:$AB$56,0),COLUMN($AB$3))),MATCH($E47,$AC$3:$AC$12,-1),14)</f>
        <v/>
      </c>
      <c r="R47" s="214" t="inlineStr">
        <is>
          <t>VD-N2-E-4.140-M-LOOP</t>
        </is>
      </c>
      <c r="S47" s="214" t="n"/>
      <c r="AB47" s="111" t="inlineStr">
        <is>
          <t>3Y</t>
        </is>
      </c>
      <c r="AC47" s="111" t="n"/>
      <c r="AD47" s="19" t="inlineStr">
        <is>
          <t>3車道且開放路肩平坦路段之代表性流率與速率關係</t>
        </is>
      </c>
      <c r="AE47" s="19" t="n"/>
      <c r="AF47" s="112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19" t="n"/>
      <c r="AS47" s="18" t="n"/>
      <c r="AU47" s="162" t="n"/>
      <c r="AV47" s="162" t="n"/>
      <c r="AW47" s="162" t="n"/>
    </row>
    <row r="48" ht="17.25" customHeight="1" s="189" thickBot="1">
      <c r="A48" s="203" t="n"/>
      <c r="B48" s="229" t="inlineStr">
        <is>
          <t>大竹交流道-大園交流道</t>
        </is>
      </c>
      <c r="C48" s="230" t="inlineStr">
        <is>
          <t>往西</t>
        </is>
      </c>
      <c r="D48" s="213">
        <f>Q48*(O48+IF(P48="Y",1,0))+N48</f>
        <v/>
      </c>
      <c r="E48" s="213" t="n">
        <v>100</v>
      </c>
      <c r="F48" s="213" t="n">
        <v>6858.199999999999</v>
      </c>
      <c r="G48" s="219">
        <f>F48/D48</f>
        <v/>
      </c>
      <c r="H48" s="219" t="n">
        <v>90.39687795648061</v>
      </c>
      <c r="I48" s="140">
        <f>IF(G48&lt;=$U$4,"A",IF(G48&lt;=$U$5,"B",IF(G48&lt;=$U$6,"C",IF(G48&lt;=$U$7,"D",IF(G48&lt;=$U$8,"E","F")))))&amp;IF(H48/E48&gt;=$W$4,1,IF(H48/E48&gt;=$W$5,2,IF(H48/E48&gt;=$W$6,3,IF(H48/E48&gt;=$W$7,4,IF(H48/E48&gt;=$W$8,5,6)))))</f>
        <v/>
      </c>
      <c r="J48" s="213" t="n">
        <v>3500.3</v>
      </c>
      <c r="K48" s="219">
        <f>J48/D48</f>
        <v/>
      </c>
      <c r="L48" s="219" t="n">
        <v>96.27051767676768</v>
      </c>
      <c r="M48" s="140">
        <f>IF(K48&lt;=$U$4,"A",IF(K48&lt;=$U$5,"B",IF(K48&lt;=$U$6,"C",IF(K48&lt;=$U$7,"D",IF(K48&lt;=$U$8,"E","F")))))&amp;IF(L48/E48&gt;=$W$4,1,IF(L48/E48&gt;=$W$5,2,IF(L48/E48&gt;=$W$6,3,IF(L48/E48&gt;=$W$7,4,IF(L48/E48&gt;=$W$8,5,6)))))</f>
        <v/>
      </c>
      <c r="N48" s="208" t="n"/>
      <c r="O48" s="201" t="n">
        <v>4</v>
      </c>
      <c r="P48" s="201" t="inlineStr">
        <is>
          <t>N</t>
        </is>
      </c>
      <c r="Q48" s="201">
        <f t="array" ref="Q48">OFFSET(INDIRECT(ADDRESS(MATCH(O48&amp;P48,$AB$1:$AB$56,0),COLUMN($AB$3))),MATCH($E48,$AC$3:$AC$12,-1),14)</f>
        <v/>
      </c>
      <c r="R48" s="214" t="inlineStr">
        <is>
          <t>VD-N2-W-3.360-M-RS</t>
        </is>
      </c>
      <c r="S48" s="214" t="n"/>
      <c r="AA48" s="92" t="n">
        <v>1</v>
      </c>
      <c r="AB48" s="19" t="n"/>
      <c r="AC48" s="162" t="inlineStr">
        <is>
          <t>速限</t>
        </is>
      </c>
      <c r="AD48" s="162" t="inlineStr">
        <is>
          <t>自由速率Vf</t>
        </is>
      </c>
      <c r="AE48" s="162" t="inlineStr">
        <is>
          <t>流率Q</t>
        </is>
      </c>
      <c r="AF48" s="162" t="inlineStr">
        <is>
          <t>流率Q與速率V之關係</t>
        </is>
      </c>
      <c r="AO48" s="162" t="inlineStr">
        <is>
          <t>速率V</t>
        </is>
      </c>
      <c r="AP48" s="162" t="inlineStr">
        <is>
          <t>容量Qmax</t>
        </is>
      </c>
      <c r="AQ48" s="162" t="inlineStr">
        <is>
          <t>臨界速率</t>
        </is>
      </c>
      <c r="AR48" s="19" t="n"/>
      <c r="AS48" s="117" t="n"/>
      <c r="AU48" s="162" t="inlineStr">
        <is>
          <t>3N</t>
        </is>
      </c>
      <c r="AV48" s="162" t="inlineStr">
        <is>
          <t>3Y</t>
        </is>
      </c>
      <c r="AW48" s="162" t="n"/>
    </row>
    <row r="49">
      <c r="A49" s="203" t="n"/>
      <c r="B49" s="231" t="inlineStr">
        <is>
          <t>大竹交流道-機場系統交流道</t>
        </is>
      </c>
      <c r="C49" s="228" t="inlineStr">
        <is>
          <t>往東</t>
        </is>
      </c>
      <c r="D49" s="212">
        <f>Q49*(O49+IF(P49="Y",1,0))+N49</f>
        <v/>
      </c>
      <c r="E49" s="212" t="n">
        <v>100</v>
      </c>
      <c r="F49" s="212" t="n">
        <v>5510.000000000001</v>
      </c>
      <c r="G49" s="217">
        <f>F49/D49</f>
        <v/>
      </c>
      <c r="H49" s="217" t="n">
        <v>87.20966105134971</v>
      </c>
      <c r="I49" s="138">
        <f>IF(G49&lt;=$U$4,"A",IF(G49&lt;=$U$5,"B",IF(G49&lt;=$U$6,"C",IF(G49&lt;=$U$7,"D",IF(G49&lt;=$U$8,"E","F")))))&amp;IF(H49/E49&gt;=$W$4,1,IF(H49/E49&gt;=$W$5,2,IF(H49/E49&gt;=$W$6,3,IF(H49/E49&gt;=$W$7,4,IF(H49/E49&gt;=$W$8,5,6)))))</f>
        <v/>
      </c>
      <c r="J49" s="212" t="n">
        <v>6526.2</v>
      </c>
      <c r="K49" s="217">
        <f>J49/D49</f>
        <v/>
      </c>
      <c r="L49" s="217" t="n">
        <v>42.36626676076217</v>
      </c>
      <c r="M49" s="138">
        <f>IF(K49&lt;=$U$4,"A",IF(K49&lt;=$U$5,"B",IF(K49&lt;=$U$6,"C",IF(K49&lt;=$U$7,"D",IF(K49&lt;=$U$8,"E","F")))))&amp;IF(L49/E49&gt;=$W$4,1,IF(L49/E49&gt;=$W$5,2,IF(L49/E49&gt;=$W$6,3,IF(L49/E49&gt;=$W$7,4,IF(L49/E49&gt;=$W$8,5,6)))))</f>
        <v/>
      </c>
      <c r="N49" s="208" t="n"/>
      <c r="O49" s="201" t="n">
        <v>4</v>
      </c>
      <c r="P49" s="201" t="inlineStr">
        <is>
          <t>N</t>
        </is>
      </c>
      <c r="Q49" s="201">
        <f t="array" ref="Q49">OFFSET(INDIRECT(ADDRESS(MATCH(O49&amp;P49,$AB$1:$AB$56,0),COLUMN($AB$3))),MATCH($E49,$AC$3:$AC$12,-1),14)</f>
        <v/>
      </c>
      <c r="R49" s="214" t="inlineStr">
        <is>
          <t>VD-N2-E-6.950-M-RS</t>
        </is>
      </c>
      <c r="S49" s="214" t="n"/>
      <c r="AA49" s="92" t="n">
        <v>2</v>
      </c>
      <c r="AB49" s="19" t="n"/>
      <c r="AC49" s="162" t="n">
        <v>110</v>
      </c>
      <c r="AD49" s="162" t="n">
        <v>115</v>
      </c>
      <c r="AE49" s="162" t="n">
        <v>1200</v>
      </c>
      <c r="AF49" s="112" t="inlineStr">
        <is>
          <t>V=</t>
        </is>
      </c>
      <c r="AG49" s="19" t="n">
        <v>115.95</v>
      </c>
      <c r="AH49" s="19">
        <f>"-("</f>
        <v/>
      </c>
      <c r="AI49" s="18" t="n">
        <v>28.104</v>
      </c>
      <c r="AJ49" s="18" t="inlineStr">
        <is>
          <t>/(1+EXP(-(Q-</t>
        </is>
      </c>
      <c r="AK49" s="18" t="n">
        <v>2056.3</v>
      </c>
      <c r="AL49" s="18">
        <f>")/"</f>
        <v/>
      </c>
      <c r="AM49" s="18" t="n">
        <v>609.89</v>
      </c>
      <c r="AN49" s="18" t="inlineStr">
        <is>
          <t>)))</t>
        </is>
      </c>
      <c r="AO49" s="210">
        <f>AG49-(AI49/(1+EXP(-(AS49-AK49)/AM49)))</f>
        <v/>
      </c>
      <c r="AP49" s="162" t="n">
        <v>1760</v>
      </c>
      <c r="AQ49" s="162" t="n">
        <v>100</v>
      </c>
      <c r="AR49" s="19" t="n"/>
      <c r="AS49" s="18" t="n"/>
      <c r="AU49" s="162">
        <f>AP16*3</f>
        <v/>
      </c>
      <c r="AV49" s="162">
        <f>AP49*4</f>
        <v/>
      </c>
      <c r="AW49" s="162">
        <f>AV49-AU49</f>
        <v/>
      </c>
    </row>
    <row r="50" ht="16.5" customHeight="1" s="189">
      <c r="A50" s="203" t="n"/>
      <c r="B50" s="232" t="inlineStr">
        <is>
          <t>機場系統交流道-大竹交流道</t>
        </is>
      </c>
      <c r="C50" s="230" t="inlineStr">
        <is>
          <t>往西</t>
        </is>
      </c>
      <c r="D50" s="213">
        <f>Q50*(O50+IF(P50="Y",1,0))+N50</f>
        <v/>
      </c>
      <c r="E50" s="213" t="n">
        <v>100</v>
      </c>
      <c r="F50" s="213" t="n">
        <v>7853.299999999999</v>
      </c>
      <c r="G50" s="219">
        <f>F50/D50</f>
        <v/>
      </c>
      <c r="H50" s="219" t="n">
        <v>55.51557233382769</v>
      </c>
      <c r="I50" s="140">
        <f>IF(G50&lt;=$U$4,"A",IF(G50&lt;=$U$5,"B",IF(G50&lt;=$U$6,"C",IF(G50&lt;=$U$7,"D",IF(G50&lt;=$U$8,"E","F")))))&amp;IF(H50/E50&gt;=$W$4,1,IF(H50/E50&gt;=$W$5,2,IF(H50/E50&gt;=$W$6,3,IF(H50/E50&gt;=$W$7,4,IF(H50/E50&gt;=$W$8,5,6)))))</f>
        <v/>
      </c>
      <c r="J50" s="213" t="n">
        <v>4604.4</v>
      </c>
      <c r="K50" s="219">
        <f>J50/D50</f>
        <v/>
      </c>
      <c r="L50" s="219" t="n">
        <v>81.95004604051566</v>
      </c>
      <c r="M50" s="140">
        <f>IF(K50&lt;=$U$4,"A",IF(K50&lt;=$U$5,"B",IF(K50&lt;=$U$6,"C",IF(K50&lt;=$U$7,"D",IF(K50&lt;=$U$8,"E","F")))))&amp;IF(L50/E50&gt;=$W$4,1,IF(L50/E50&gt;=$W$5,2,IF(L50/E50&gt;=$W$6,3,IF(L50/E50&gt;=$W$7,4,IF(L50/E50&gt;=$W$8,5,6)))))</f>
        <v/>
      </c>
      <c r="N50" s="208">
        <f>$AW$57</f>
        <v/>
      </c>
      <c r="O50" s="201" t="n">
        <v>4</v>
      </c>
      <c r="P50" s="201" t="inlineStr">
        <is>
          <t>N</t>
        </is>
      </c>
      <c r="Q50" s="201">
        <f t="array" ref="Q50">OFFSET(INDIRECT(ADDRESS(MATCH(O50&amp;P50,$AB$1:$AB$56,0),COLUMN($AB$3))),MATCH($E50,$AC$3:$AC$12,-1),14)</f>
        <v/>
      </c>
      <c r="R50" s="214" t="inlineStr">
        <is>
          <t>VD-N2-W-6.260-M-LOOP</t>
        </is>
      </c>
      <c r="S50" s="214" t="inlineStr">
        <is>
          <t>機場系統(8k+250)~大竹(6k+400)</t>
        </is>
      </c>
      <c r="AA50" s="92" t="n">
        <v>3</v>
      </c>
      <c r="AB50" s="19" t="n"/>
      <c r="AC50" s="162" t="n"/>
      <c r="AD50" s="162" t="n">
        <v>115</v>
      </c>
      <c r="AE50" s="162" t="n">
        <v>1760</v>
      </c>
      <c r="AF50" s="112" t="inlineStr">
        <is>
          <t>V=</t>
        </is>
      </c>
      <c r="AG50" s="19" t="n">
        <v>111.11</v>
      </c>
      <c r="AH50" s="19">
        <f>"-("</f>
        <v/>
      </c>
      <c r="AI50" s="18" t="n">
        <v>20.671</v>
      </c>
      <c r="AJ50" s="18" t="inlineStr">
        <is>
          <t>/(1+EXP(-(Q-</t>
        </is>
      </c>
      <c r="AK50" s="18" t="n">
        <v>1774.2</v>
      </c>
      <c r="AL50" s="18">
        <f>")/"</f>
        <v/>
      </c>
      <c r="AM50" s="18" t="n">
        <v>172.06</v>
      </c>
      <c r="AN50" s="18" t="inlineStr">
        <is>
          <t>)))</t>
        </is>
      </c>
      <c r="AO50" s="210">
        <f>AG50-(AI50/(1+EXP(-(AS50-AK50)/AM50)))</f>
        <v/>
      </c>
      <c r="AP50" s="162" t="n">
        <v>1760</v>
      </c>
      <c r="AQ50" s="162" t="n">
        <v>100</v>
      </c>
      <c r="AR50" s="19" t="n"/>
      <c r="AS50" s="18" t="n"/>
      <c r="AU50" s="162">
        <f>AP17*3</f>
        <v/>
      </c>
      <c r="AV50" s="162">
        <f>AP50*4</f>
        <v/>
      </c>
      <c r="AW50" s="162">
        <f>AV50-AU50</f>
        <v/>
      </c>
    </row>
    <row r="51">
      <c r="A51" s="203" t="n"/>
      <c r="B51" s="233" t="inlineStr">
        <is>
          <t>大竹交流道-機場系統交流道</t>
        </is>
      </c>
      <c r="C51" s="234" t="inlineStr">
        <is>
          <t>往東</t>
        </is>
      </c>
      <c r="D51" s="199">
        <f>Q51*(O51+IF(P51="Y",1,0))+N51</f>
        <v/>
      </c>
      <c r="E51" s="199" t="n">
        <v>100</v>
      </c>
      <c r="F51" s="192" t="n">
        <v>5312.799999999998</v>
      </c>
      <c r="G51" s="200">
        <f>F51/D51</f>
        <v/>
      </c>
      <c r="H51" s="200" t="n">
        <v>70.46290033817387</v>
      </c>
      <c r="I51" s="100">
        <f>IF(G51&lt;=$U$4,"A",IF(G51&lt;=$U$5,"B",IF(G51&lt;=$U$6,"C",IF(G51&lt;=$U$7,"D",IF(G51&lt;=$U$8,"E","F")))))&amp;IF(H51/E51&gt;=$W$4,1,IF(H51/E51&gt;=$W$5,2,IF(H51/E51&gt;=$W$6,3,IF(H51/E51&gt;=$W$7,4,IF(H51/E51&gt;=$W$8,5,6)))))</f>
        <v/>
      </c>
      <c r="J51" s="192" t="n">
        <v>6318.099999999999</v>
      </c>
      <c r="K51" s="200">
        <f>J51/D51</f>
        <v/>
      </c>
      <c r="L51" s="200" t="n">
        <v>42.54301163362281</v>
      </c>
      <c r="M51" s="100">
        <f>IF(K51&lt;=$U$4,"A",IF(K51&lt;=$U$5,"B",IF(K51&lt;=$U$6,"C",IF(K51&lt;=$U$7,"D",IF(K51&lt;=$U$8,"E","F")))))&amp;IF(L51/E51&gt;=$W$4,1,IF(L51/E51&gt;=$W$5,2,IF(L51/E51&gt;=$W$6,3,IF(L51/E51&gt;=$W$7,4,IF(L51/E51&gt;=$W$8,5,6)))))</f>
        <v/>
      </c>
      <c r="N51" s="208" t="n"/>
      <c r="O51" s="201" t="n">
        <v>4</v>
      </c>
      <c r="P51" s="201" t="inlineStr">
        <is>
          <t>N</t>
        </is>
      </c>
      <c r="Q51" s="201">
        <f t="array" ref="Q51">OFFSET(INDIRECT(ADDRESS(MATCH(O51&amp;P51,$AB$1:$AB$56,0),COLUMN($AB$3))),MATCH($E51,$AC$3:$AC$12,-1),14)</f>
        <v/>
      </c>
      <c r="R51" s="214" t="inlineStr">
        <is>
          <t>VD-N2-E-7.900-M-LOOP</t>
        </is>
      </c>
      <c r="S51" s="214" t="n"/>
      <c r="AA51" s="92" t="n">
        <v>4</v>
      </c>
      <c r="AB51" s="19" t="n"/>
      <c r="AC51" s="162" t="n"/>
      <c r="AD51" s="162" t="n">
        <v>110</v>
      </c>
      <c r="AE51" s="162" t="n">
        <v>1200</v>
      </c>
      <c r="AF51" s="112" t="inlineStr">
        <is>
          <t>V=</t>
        </is>
      </c>
      <c r="AG51" s="19" t="n">
        <v>110.48</v>
      </c>
      <c r="AH51" s="19">
        <f>"-("</f>
        <v/>
      </c>
      <c r="AI51" s="18" t="n">
        <v>18.225</v>
      </c>
      <c r="AJ51" s="18" t="inlineStr">
        <is>
          <t>/(1+EXP(-(Q-</t>
        </is>
      </c>
      <c r="AK51" s="18" t="n">
        <v>1552.2</v>
      </c>
      <c r="AL51" s="18">
        <f>")/"</f>
        <v/>
      </c>
      <c r="AM51" s="18" t="n">
        <v>429.93</v>
      </c>
      <c r="AN51" s="18" t="inlineStr">
        <is>
          <t>)))</t>
        </is>
      </c>
      <c r="AO51" s="210">
        <f>AG51-(AI51/(1+EXP(-(AS51-AK51)/AM51)))</f>
        <v/>
      </c>
      <c r="AP51" s="162" t="n">
        <v>1725</v>
      </c>
      <c r="AQ51" s="162" t="n">
        <v>95</v>
      </c>
      <c r="AR51" s="19" t="n"/>
      <c r="AS51" s="18" t="n"/>
      <c r="AU51" s="162">
        <f>AP18*3</f>
        <v/>
      </c>
      <c r="AV51" s="162">
        <f>AP51*4</f>
        <v/>
      </c>
      <c r="AW51" s="162">
        <f>AV51-AU51</f>
        <v/>
      </c>
    </row>
    <row r="52" ht="16.5" customHeight="1" s="189" thickBot="1">
      <c r="A52" s="203" t="n"/>
      <c r="B52" s="235" t="inlineStr">
        <is>
          <t>機場系統交流道-大竹交流道</t>
        </is>
      </c>
      <c r="C52" s="226" t="inlineStr">
        <is>
          <t>往西</t>
        </is>
      </c>
      <c r="D52" s="206">
        <f>Q52*(O52+IF(P52="Y",1,0))+N52</f>
        <v/>
      </c>
      <c r="E52" s="206" t="n">
        <v>100</v>
      </c>
      <c r="F52" s="205" t="n">
        <v>10118.7</v>
      </c>
      <c r="G52" s="207">
        <f>F52/D52</f>
        <v/>
      </c>
      <c r="H52" s="207" t="n">
        <v>68.23834335337341</v>
      </c>
      <c r="I52" s="127">
        <f>IF(G52&lt;=$U$4,"A",IF(G52&lt;=$U$5,"B",IF(G52&lt;=$U$6,"C",IF(G52&lt;=$U$7,"D",IF(G52&lt;=$U$8,"E","F")))))&amp;IF(H52/E52&gt;=$W$4,1,IF(H52/E52&gt;=$W$5,2,IF(H52/E52&gt;=$W$6,3,IF(H52/E52&gt;=$W$7,4,IF(H52/E52&gt;=$W$8,5,6)))))</f>
        <v/>
      </c>
      <c r="J52" s="205" t="n">
        <v>5271.8</v>
      </c>
      <c r="K52" s="207">
        <f>J52/D52</f>
        <v/>
      </c>
      <c r="L52" s="207" t="n">
        <v>91.45247501742971</v>
      </c>
      <c r="M52" s="127">
        <f>IF(K52&lt;=$U$4,"A",IF(K52&lt;=$U$5,"B",IF(K52&lt;=$U$6,"C",IF(K52&lt;=$U$7,"D",IF(K52&lt;=$U$8,"E","F")))))&amp;IF(L52/E52&gt;=$W$4,1,IF(L52/E52&gt;=$W$5,2,IF(L52/E52&gt;=$W$6,3,IF(L52/E52&gt;=$W$7,4,IF(L52/E52&gt;=$W$8,5,6)))))</f>
        <v/>
      </c>
      <c r="N52" s="208">
        <f>$AW$57</f>
        <v/>
      </c>
      <c r="O52" s="201" t="n">
        <v>4</v>
      </c>
      <c r="P52" s="201" t="inlineStr">
        <is>
          <t>N</t>
        </is>
      </c>
      <c r="Q52" s="201">
        <f t="array" ref="Q52">OFFSET(INDIRECT(ADDRESS(MATCH(O52&amp;P52,$AB$1:$AB$56,0),COLUMN($AB$3))),MATCH($E52,$AC$3:$AC$12,-1),14)</f>
        <v/>
      </c>
      <c r="R52" s="214" t="inlineStr">
        <is>
          <t>VD-N2-W-7.860-M-RS</t>
        </is>
      </c>
      <c r="S52" s="214" t="inlineStr">
        <is>
          <t>機場系統(8k+250)~大竹(6k+400)</t>
        </is>
      </c>
      <c r="AA52" s="92" t="n">
        <v>5</v>
      </c>
      <c r="AB52" s="19" t="n"/>
      <c r="AC52" s="162" t="n"/>
      <c r="AD52" s="162" t="n">
        <v>110</v>
      </c>
      <c r="AE52" s="162" t="n">
        <v>1725</v>
      </c>
      <c r="AF52" s="112" t="inlineStr">
        <is>
          <t>V=</t>
        </is>
      </c>
      <c r="AG52" s="19" t="n">
        <v>106.75</v>
      </c>
      <c r="AH52" s="19">
        <f>"-("</f>
        <v/>
      </c>
      <c r="AI52" s="18" t="n">
        <v>41.406</v>
      </c>
      <c r="AJ52" s="18" t="inlineStr">
        <is>
          <t>/(1+EXP(-(Q-</t>
        </is>
      </c>
      <c r="AK52" s="18" t="n">
        <v>1992.9</v>
      </c>
      <c r="AL52" s="18">
        <f>")/"</f>
        <v/>
      </c>
      <c r="AM52" s="18" t="n">
        <v>261.38</v>
      </c>
      <c r="AN52" s="18" t="inlineStr">
        <is>
          <t>)))</t>
        </is>
      </c>
      <c r="AO52" s="210">
        <f>AG52-(AI52/(1+EXP(-(AS52-AK52)/AM52)))</f>
        <v/>
      </c>
      <c r="AP52" s="162" t="n">
        <v>1725</v>
      </c>
      <c r="AQ52" s="162" t="n">
        <v>95</v>
      </c>
      <c r="AR52" s="19" t="n"/>
      <c r="AS52" s="18" t="n"/>
      <c r="AU52" s="162">
        <f>AP19*3</f>
        <v/>
      </c>
      <c r="AV52" s="162">
        <f>AP52*4</f>
        <v/>
      </c>
      <c r="AW52" s="162">
        <f>AV52-AU52</f>
        <v/>
      </c>
    </row>
    <row r="53">
      <c r="A53" s="203" t="n"/>
      <c r="B53" s="236" t="inlineStr">
        <is>
          <t>機場系統交流道-南桃園交流道</t>
        </is>
      </c>
      <c r="C53" s="234" t="inlineStr">
        <is>
          <t>往東</t>
        </is>
      </c>
      <c r="D53" s="199">
        <f>Q53*(O53+IF(P53="Y",1,0))+N53</f>
        <v/>
      </c>
      <c r="E53" s="199" t="n">
        <v>100</v>
      </c>
      <c r="F53" s="192" t="n">
        <v>4685.299999999999</v>
      </c>
      <c r="G53" s="200">
        <f>F53/D53</f>
        <v/>
      </c>
      <c r="H53" s="200" t="n">
        <v>72.6272705826846</v>
      </c>
      <c r="I53" s="100">
        <f>IF(G53&lt;=$U$4,"A",IF(G53&lt;=$U$5,"B",IF(G53&lt;=$U$6,"C",IF(G53&lt;=$U$7,"D",IF(G53&lt;=$U$8,"E","F")))))&amp;IF(H53/E53&gt;=$W$4,1,IF(H53/E53&gt;=$W$5,2,IF(H53/E53&gt;=$W$6,3,IF(H53/E53&gt;=$W$7,4,IF(H53/E53&gt;=$W$8,5,6)))))</f>
        <v/>
      </c>
      <c r="J53" s="192" t="n">
        <v>5156.8</v>
      </c>
      <c r="K53" s="200">
        <f>J53/D53</f>
        <v/>
      </c>
      <c r="L53" s="200" t="n">
        <v>54.68511171434537</v>
      </c>
      <c r="M53" s="100">
        <f>IF(K53&lt;=$U$4,"A",IF(K53&lt;=$U$5,"B",IF(K53&lt;=$U$6,"C",IF(K53&lt;=$U$7,"D",IF(K53&lt;=$U$8,"E","F")))))&amp;IF(L53/E53&gt;=$W$4,1,IF(L53/E53&gt;=$W$5,2,IF(L53/E53&gt;=$W$6,3,IF(L53/E53&gt;=$W$7,4,IF(L53/E53&gt;=$W$8,5,6)))))</f>
        <v/>
      </c>
      <c r="N53" s="208" t="n"/>
      <c r="O53" s="201" t="n">
        <v>3</v>
      </c>
      <c r="P53" s="201" t="inlineStr">
        <is>
          <t>Y</t>
        </is>
      </c>
      <c r="Q53" s="201">
        <f t="array" ref="Q53">OFFSET(INDIRECT(ADDRESS(MATCH(O53&amp;P53,$AB$1:$AB$56,0),COLUMN($AB$3))),MATCH($E53,$AC$3:$AC$12,-1),14)</f>
        <v/>
      </c>
      <c r="R53" s="214" t="inlineStr">
        <is>
          <t>VD-N2-E-10.360-M-RS</t>
        </is>
      </c>
      <c r="S53" s="214" t="inlineStr">
        <is>
          <t>機場系統(9k+680)~南桃園(10k+915)</t>
        </is>
      </c>
      <c r="AA53" s="92" t="n">
        <v>6</v>
      </c>
      <c r="AB53" s="19" t="n"/>
      <c r="AC53" s="162" t="n">
        <v>100</v>
      </c>
      <c r="AD53" s="162" t="n">
        <v>105</v>
      </c>
      <c r="AE53" s="162" t="n">
        <v>1200</v>
      </c>
      <c r="AF53" s="112" t="inlineStr">
        <is>
          <t>V=</t>
        </is>
      </c>
      <c r="AG53" s="19" t="n">
        <v>105.34</v>
      </c>
      <c r="AH53" s="19">
        <f>"-("</f>
        <v/>
      </c>
      <c r="AI53" s="18" t="n">
        <v>21.742</v>
      </c>
      <c r="AJ53" s="18" t="inlineStr">
        <is>
          <t>/(1+EXP(-(Q-</t>
        </is>
      </c>
      <c r="AK53" s="18" t="n">
        <v>1495.2</v>
      </c>
      <c r="AL53" s="18">
        <f>")/"</f>
        <v/>
      </c>
      <c r="AM53" s="18" t="n">
        <v>358.76</v>
      </c>
      <c r="AN53" s="18" t="inlineStr">
        <is>
          <t>)))</t>
        </is>
      </c>
      <c r="AO53" s="210">
        <f>AG53-(AI53/(1+EXP(-(AS53-AK53)/AM53)))</f>
        <v/>
      </c>
      <c r="AP53" s="162" t="n">
        <v>1690</v>
      </c>
      <c r="AQ53" s="162" t="n">
        <v>90</v>
      </c>
      <c r="AR53" s="19" t="n"/>
      <c r="AS53" s="18" t="n"/>
      <c r="AU53" s="162">
        <f>AP20*3</f>
        <v/>
      </c>
      <c r="AV53" s="162">
        <f>AP53*4</f>
        <v/>
      </c>
      <c r="AW53" s="162">
        <f>AV53-AU53</f>
        <v/>
      </c>
    </row>
    <row r="54">
      <c r="A54" s="203" t="n"/>
      <c r="B54" s="225" t="inlineStr">
        <is>
          <t>南桃園交流道-機場系統交流道</t>
        </is>
      </c>
      <c r="C54" s="226" t="inlineStr">
        <is>
          <t>往西</t>
        </is>
      </c>
      <c r="D54" s="206">
        <f>Q54*(O54+IF(P54="Y",1,0))+N54</f>
        <v/>
      </c>
      <c r="E54" s="206" t="n">
        <v>100</v>
      </c>
      <c r="F54" s="205" t="n">
        <v>7101.099999999999</v>
      </c>
      <c r="G54" s="207">
        <f>F54/D54</f>
        <v/>
      </c>
      <c r="H54" s="207" t="n">
        <v>65.22597402597403</v>
      </c>
      <c r="I54" s="127">
        <f>IF(G54&lt;=$U$4,"A",IF(G54&lt;=$U$5,"B",IF(G54&lt;=$U$6,"C",IF(G54&lt;=$U$7,"D",IF(G54&lt;=$U$8,"E","F")))))&amp;IF(H54/E54&gt;=$W$4,1,IF(H54/E54&gt;=$W$5,2,IF(H54/E54&gt;=$W$6,3,IF(H54/E54&gt;=$W$7,4,IF(H54/E54&gt;=$W$8,5,6)))))</f>
        <v/>
      </c>
      <c r="J54" s="205" t="n">
        <v>4459.5</v>
      </c>
      <c r="K54" s="207">
        <f>J54/D54</f>
        <v/>
      </c>
      <c r="L54" s="207" t="n">
        <v>81.77217231052752</v>
      </c>
      <c r="M54" s="127">
        <f>IF(K54&lt;=$U$4,"A",IF(K54&lt;=$U$5,"B",IF(K54&lt;=$U$6,"C",IF(K54&lt;=$U$7,"D",IF(K54&lt;=$U$8,"E","F")))))&amp;IF(L54/E54&gt;=$W$4,1,IF(L54/E54&gt;=$W$5,2,IF(L54/E54&gt;=$W$6,3,IF(L54/E54&gt;=$W$7,4,IF(L54/E54&gt;=$W$8,5,6)))))</f>
        <v/>
      </c>
      <c r="N54" s="208" t="n"/>
      <c r="O54" s="201" t="n">
        <v>3</v>
      </c>
      <c r="P54" s="201" t="inlineStr">
        <is>
          <t>N</t>
        </is>
      </c>
      <c r="Q54" s="201">
        <f t="array" ref="Q54">OFFSET(INDIRECT(ADDRESS(MATCH(O54&amp;P54,$AB$1:$AB$56,0),COLUMN($AB$3))),MATCH($E54,$AC$3:$AC$12,-1),14)</f>
        <v/>
      </c>
      <c r="R54" s="214" t="inlineStr">
        <is>
          <t>VD-N2-W-10.380-M-LOOP</t>
        </is>
      </c>
      <c r="S54" s="214" t="n"/>
      <c r="AA54" s="92" t="n">
        <v>7</v>
      </c>
      <c r="AB54" s="19" t="n"/>
      <c r="AC54" s="162" t="n"/>
      <c r="AD54" s="162" t="n">
        <v>105</v>
      </c>
      <c r="AE54" s="162" t="n">
        <v>1690</v>
      </c>
      <c r="AF54" s="112" t="inlineStr">
        <is>
          <t>V=</t>
        </is>
      </c>
      <c r="AG54" s="19" t="n">
        <v>102.47</v>
      </c>
      <c r="AH54" s="19">
        <f>"-("</f>
        <v/>
      </c>
      <c r="AI54" s="18" t="n">
        <v>49.644</v>
      </c>
      <c r="AJ54" s="18" t="inlineStr">
        <is>
          <t>/(1+EXP(-(Q-</t>
        </is>
      </c>
      <c r="AK54" s="18" t="n">
        <v>2091.5</v>
      </c>
      <c r="AL54" s="18">
        <f>")/"</f>
        <v/>
      </c>
      <c r="AM54" s="18" t="n">
        <v>358.01</v>
      </c>
      <c r="AN54" s="18" t="inlineStr">
        <is>
          <t>)))</t>
        </is>
      </c>
      <c r="AO54" s="210">
        <f>AG54-(AI54/(1+EXP(-(AS54-AK54)/AM54)))</f>
        <v/>
      </c>
      <c r="AP54" s="162" t="n">
        <v>1690</v>
      </c>
      <c r="AQ54" s="162" t="n">
        <v>90</v>
      </c>
      <c r="AR54" s="19" t="n"/>
      <c r="AS54" s="18" t="n"/>
      <c r="AU54" s="162">
        <f>AP21*3</f>
        <v/>
      </c>
      <c r="AV54" s="162">
        <f>AP54*4</f>
        <v/>
      </c>
      <c r="AW54" s="162">
        <f>AV54-AU54</f>
        <v/>
      </c>
    </row>
    <row r="55">
      <c r="A55" s="203" t="n"/>
      <c r="B55" s="227" t="inlineStr">
        <is>
          <t>機場系統交流道-南桃園交流道</t>
        </is>
      </c>
      <c r="C55" s="228" t="inlineStr">
        <is>
          <t>往東</t>
        </is>
      </c>
      <c r="D55" s="212">
        <f>Q55*(O55+IF(P55="Y",1,0))+N55</f>
        <v/>
      </c>
      <c r="E55" s="212" t="n">
        <v>100</v>
      </c>
      <c r="F55" s="212" t="n">
        <v>4831.9</v>
      </c>
      <c r="G55" s="217">
        <f>F55/D55</f>
        <v/>
      </c>
      <c r="H55" s="217" t="n">
        <v>76.31234199034705</v>
      </c>
      <c r="I55" s="138">
        <f>IF(G55&lt;=$U$4,"A",IF(G55&lt;=$U$5,"B",IF(G55&lt;=$U$6,"C",IF(G55&lt;=$U$7,"D",IF(G55&lt;=$U$8,"E","F")))))&amp;IF(H55/E55&gt;=$W$4,1,IF(H55/E55&gt;=$W$5,2,IF(H55/E55&gt;=$W$6,3,IF(H55/E55&gt;=$W$7,4,IF(H55/E55&gt;=$W$8,5,6)))))</f>
        <v/>
      </c>
      <c r="J55" s="212" t="n">
        <v>5683.7</v>
      </c>
      <c r="K55" s="217">
        <f>J55/D55</f>
        <v/>
      </c>
      <c r="L55" s="217" t="n">
        <v>56.92019632794037</v>
      </c>
      <c r="M55" s="138">
        <f>IF(K55&lt;=$U$4,"A",IF(K55&lt;=$U$5,"B",IF(K55&lt;=$U$6,"C",IF(K55&lt;=$U$7,"D",IF(K55&lt;=$U$8,"E","F")))))&amp;IF(L55/E55&gt;=$W$4,1,IF(L55/E55&gt;=$W$5,2,IF(L55/E55&gt;=$W$6,3,IF(L55/E55&gt;=$W$7,4,IF(L55/E55&gt;=$W$8,5,6)))))</f>
        <v/>
      </c>
      <c r="N55" s="208" t="n"/>
      <c r="O55" s="201" t="n">
        <v>3</v>
      </c>
      <c r="P55" s="201" t="inlineStr">
        <is>
          <t>Y</t>
        </is>
      </c>
      <c r="Q55" s="201">
        <f t="array" ref="Q55">OFFSET(INDIRECT(ADDRESS(MATCH(O55&amp;P55,$AB$1:$AB$56,0),COLUMN($AB$3))),MATCH($E55,$AC$3:$AC$12,-1),14)</f>
        <v/>
      </c>
      <c r="R55" s="214" t="inlineStr">
        <is>
          <t>VD-N2-E-10.800-M-LOOP</t>
        </is>
      </c>
      <c r="S55" s="214" t="inlineStr">
        <is>
          <t>機場系統(9k+680)~南桃園(10k+915)</t>
        </is>
      </c>
      <c r="AA55" s="92" t="n">
        <v>8</v>
      </c>
      <c r="AB55" s="19" t="n"/>
      <c r="AC55" s="162" t="n">
        <v>90</v>
      </c>
      <c r="AD55" s="162" t="n">
        <v>100</v>
      </c>
      <c r="AE55" s="162" t="n">
        <v>1200</v>
      </c>
      <c r="AF55" s="112" t="inlineStr">
        <is>
          <t>V=</t>
        </is>
      </c>
      <c r="AG55" s="19" t="n">
        <v>100.26</v>
      </c>
      <c r="AH55" s="19">
        <f>"-("</f>
        <v/>
      </c>
      <c r="AI55" s="18" t="n">
        <v>23.419</v>
      </c>
      <c r="AJ55" s="18" t="inlineStr">
        <is>
          <t>/(1+EXP(-(Q-</t>
        </is>
      </c>
      <c r="AK55" s="18" t="n">
        <v>1511.3</v>
      </c>
      <c r="AL55" s="18">
        <f>")/"</f>
        <v/>
      </c>
      <c r="AM55" s="18" t="n">
        <v>337.26</v>
      </c>
      <c r="AN55" s="18" t="inlineStr">
        <is>
          <t>)))</t>
        </is>
      </c>
      <c r="AO55" s="210">
        <f>AG55-(AI55/(1+EXP(-(AS55-AK55)/AM55)))</f>
        <v/>
      </c>
      <c r="AP55" s="162" t="n">
        <v>1650</v>
      </c>
      <c r="AQ55" s="162" t="n">
        <v>85</v>
      </c>
      <c r="AR55" s="19" t="n"/>
      <c r="AS55" s="18" t="n"/>
      <c r="AU55" s="162">
        <f>AP22*3</f>
        <v/>
      </c>
      <c r="AV55" s="162">
        <f>AP55*4</f>
        <v/>
      </c>
      <c r="AW55" s="162">
        <f>AV55-AU55</f>
        <v/>
      </c>
    </row>
    <row r="56" ht="16.5" customHeight="1" s="189" thickBot="1">
      <c r="A56" s="203" t="n"/>
      <c r="B56" s="229" t="inlineStr">
        <is>
          <t>南桃園交流道-機場系統交流道</t>
        </is>
      </c>
      <c r="C56" s="230" t="inlineStr">
        <is>
          <t>往西</t>
        </is>
      </c>
      <c r="D56" s="213">
        <f>Q56*(O56+IF(P56="Y",1,0))+N56</f>
        <v/>
      </c>
      <c r="E56" s="213" t="n">
        <v>100</v>
      </c>
      <c r="F56" s="213" t="n">
        <v>7398.9</v>
      </c>
      <c r="G56" s="219">
        <f>F56/D56</f>
        <v/>
      </c>
      <c r="H56" s="219" t="n">
        <v>58.78270542865619</v>
      </c>
      <c r="I56" s="140">
        <f>IF(G56&lt;=$U$4,"A",IF(G56&lt;=$U$5,"B",IF(G56&lt;=$U$6,"C",IF(G56&lt;=$U$7,"D",IF(G56&lt;=$U$8,"E","F")))))&amp;IF(H56/E56&gt;=$W$4,1,IF(H56/E56&gt;=$W$5,2,IF(H56/E56&gt;=$W$6,3,IF(H56/E56&gt;=$W$7,4,IF(H56/E56&gt;=$W$8,5,6)))))</f>
        <v/>
      </c>
      <c r="J56" s="213" t="n">
        <v>4778.8</v>
      </c>
      <c r="K56" s="219">
        <f>J56/D56</f>
        <v/>
      </c>
      <c r="L56" s="219" t="n">
        <v>79.8254835039818</v>
      </c>
      <c r="M56" s="140">
        <f>IF(K56&lt;=$U$4,"A",IF(K56&lt;=$U$5,"B",IF(K56&lt;=$U$6,"C",IF(K56&lt;=$U$7,"D",IF(K56&lt;=$U$8,"E","F")))))&amp;IF(L56/E56&gt;=$W$4,1,IF(L56/E56&gt;=$W$5,2,IF(L56/E56&gt;=$W$6,3,IF(L56/E56&gt;=$W$7,4,IF(L56/E56&gt;=$W$8,5,6)))))</f>
        <v/>
      </c>
      <c r="N56" s="208" t="n"/>
      <c r="O56" s="201" t="n">
        <v>3</v>
      </c>
      <c r="P56" s="201" t="inlineStr">
        <is>
          <t>N</t>
        </is>
      </c>
      <c r="Q56" s="201">
        <f t="array" ref="Q56">OFFSET(INDIRECT(ADDRESS(MATCH(O56&amp;P56,$AB$1:$AB$56,0),COLUMN($AB$3))),MATCH($E56,$AC$3:$AC$12,-1),14)</f>
        <v/>
      </c>
      <c r="R56" s="214" t="inlineStr">
        <is>
          <t>VD-N2-W-10.530-M-RS</t>
        </is>
      </c>
      <c r="S56" s="214" t="n"/>
      <c r="AA56" s="92" t="n">
        <v>9</v>
      </c>
      <c r="AB56" s="19" t="n"/>
      <c r="AC56" s="162" t="n"/>
      <c r="AD56" s="162" t="n">
        <v>100</v>
      </c>
      <c r="AE56" s="162" t="n">
        <v>1650</v>
      </c>
      <c r="AF56" s="112" t="inlineStr">
        <is>
          <t>V=</t>
        </is>
      </c>
      <c r="AG56" s="19" t="n">
        <v>99.066</v>
      </c>
      <c r="AH56" s="19">
        <f>"-("</f>
        <v/>
      </c>
      <c r="AI56" s="18" t="n">
        <v>146.832</v>
      </c>
      <c r="AJ56" s="18" t="inlineStr">
        <is>
          <t>/(1+EXP(-(Q-</t>
        </is>
      </c>
      <c r="AK56" s="18" t="n">
        <v>2677.6</v>
      </c>
      <c r="AL56" s="18">
        <f>")/"</f>
        <v/>
      </c>
      <c r="AM56" s="18" t="n">
        <v>456.8</v>
      </c>
      <c r="AN56" s="18" t="inlineStr">
        <is>
          <t>)))</t>
        </is>
      </c>
      <c r="AO56" s="210">
        <f>AG56-(AI56/(1+EXP(-(AS56-AK56)/AM56)))</f>
        <v/>
      </c>
      <c r="AP56" s="162" t="n">
        <v>1650</v>
      </c>
      <c r="AQ56" s="162" t="n">
        <v>85</v>
      </c>
      <c r="AR56" s="19" t="n"/>
      <c r="AS56" s="18" t="n"/>
      <c r="AU56" s="162">
        <f>AP23*3</f>
        <v/>
      </c>
      <c r="AV56" s="162">
        <f>AP56*4</f>
        <v/>
      </c>
      <c r="AW56" s="162">
        <f>AV56-AU56</f>
        <v/>
      </c>
    </row>
    <row r="57">
      <c r="A57" s="203" t="n"/>
      <c r="B57" s="231" t="inlineStr">
        <is>
          <t>南桃園交流道-大湳交流道</t>
        </is>
      </c>
      <c r="C57" s="228" t="inlineStr">
        <is>
          <t>往東</t>
        </is>
      </c>
      <c r="D57" s="212">
        <f>Q57*(O57+IF(P57="Y",1,0))+N57</f>
        <v/>
      </c>
      <c r="E57" s="212" t="n">
        <v>100</v>
      </c>
      <c r="F57" s="212" t="n">
        <v>5071.3</v>
      </c>
      <c r="G57" s="217">
        <f>F57/D57</f>
        <v/>
      </c>
      <c r="H57" s="217" t="n">
        <v>87.51951951951952</v>
      </c>
      <c r="I57" s="138">
        <f>IF(G57&lt;=$U$4,"A",IF(G57&lt;=$U$5,"B",IF(G57&lt;=$U$6,"C",IF(G57&lt;=$U$7,"D",IF(G57&lt;=$U$8,"E","F")))))&amp;IF(H57/E57&gt;=$W$4,1,IF(H57/E57&gt;=$W$5,2,IF(H57/E57&gt;=$W$6,3,IF(H57/E57&gt;=$W$7,4,IF(H57/E57&gt;=$W$8,5,6)))))</f>
        <v/>
      </c>
      <c r="J57" s="212" t="n">
        <v>5276.299999999999</v>
      </c>
      <c r="K57" s="217">
        <f>J57/D57</f>
        <v/>
      </c>
      <c r="L57" s="217" t="n">
        <v>83.19416547106647</v>
      </c>
      <c r="M57" s="138">
        <f>IF(K57&lt;=$U$4,"A",IF(K57&lt;=$U$5,"B",IF(K57&lt;=$U$6,"C",IF(K57&lt;=$U$7,"D",IF(K57&lt;=$U$8,"E","F")))))&amp;IF(L57/E57&gt;=$W$4,1,IF(L57/E57&gt;=$W$5,2,IF(L57/E57&gt;=$W$6,3,IF(L57/E57&gt;=$W$7,4,IF(L57/E57&gt;=$W$8,5,6)))))</f>
        <v/>
      </c>
      <c r="N57" s="208" t="n"/>
      <c r="O57" s="201" t="n">
        <v>3</v>
      </c>
      <c r="P57" s="201" t="inlineStr">
        <is>
          <t>Y</t>
        </is>
      </c>
      <c r="Q57" s="201">
        <f t="array" ref="Q57">OFFSET(INDIRECT(ADDRESS(MATCH(O57&amp;P57,$AB$1:$AB$56,0),COLUMN($AB$3))),MATCH($E57,$AC$3:$AC$12,-1),14)</f>
        <v/>
      </c>
      <c r="R57" s="214" t="inlineStr">
        <is>
          <t>VD-N2-E-12.540-M-RS</t>
        </is>
      </c>
      <c r="S57" s="214" t="inlineStr">
        <is>
          <t>15k+120~大湳東出匝道(匝道0k+070)</t>
        </is>
      </c>
      <c r="AW57" s="23">
        <f>AVERAGE(AW49:AW56)</f>
        <v/>
      </c>
    </row>
    <row r="58" ht="16.5" customHeight="1" s="189">
      <c r="A58" s="203" t="n"/>
      <c r="B58" s="232" t="inlineStr">
        <is>
          <t>大湳交流道-南桃園交流道</t>
        </is>
      </c>
      <c r="C58" s="230" t="inlineStr">
        <is>
          <t>往西</t>
        </is>
      </c>
      <c r="D58" s="213">
        <f>Q58*(O58+IF(P58="Y",1,0))+N58</f>
        <v/>
      </c>
      <c r="E58" s="213" t="n">
        <v>100</v>
      </c>
      <c r="F58" s="213" t="n">
        <v>6736.7</v>
      </c>
      <c r="G58" s="219">
        <f>F58/D58</f>
        <v/>
      </c>
      <c r="H58" s="219" t="n">
        <v>82.07114549915079</v>
      </c>
      <c r="I58" s="140">
        <f>IF(G58&lt;=$U$4,"A",IF(G58&lt;=$U$5,"B",IF(G58&lt;=$U$6,"C",IF(G58&lt;=$U$7,"D",IF(G58&lt;=$U$8,"E","F")))))&amp;IF(H58/E58&gt;=$W$4,1,IF(H58/E58&gt;=$W$5,2,IF(H58/E58&gt;=$W$6,3,IF(H58/E58&gt;=$W$7,4,IF(H58/E58&gt;=$W$8,5,6)))))</f>
        <v/>
      </c>
      <c r="J58" s="213" t="n">
        <v>4301.299999999999</v>
      </c>
      <c r="K58" s="219">
        <f>J58/D58</f>
        <v/>
      </c>
      <c r="L58" s="219" t="n">
        <v>68.478349317059</v>
      </c>
      <c r="M58" s="140">
        <f>IF(K58&lt;=$U$4,"A",IF(K58&lt;=$U$5,"B",IF(K58&lt;=$U$6,"C",IF(K58&lt;=$U$7,"D",IF(K58&lt;=$U$8,"E","F")))))&amp;IF(L58/E58&gt;=$W$4,1,IF(L58/E58&gt;=$W$5,2,IF(L58/E58&gt;=$W$6,3,IF(L58/E58&gt;=$W$7,4,IF(L58/E58&gt;=$W$8,5,6)))))</f>
        <v/>
      </c>
      <c r="N58" s="208" t="n"/>
      <c r="O58" s="201" t="n">
        <v>3</v>
      </c>
      <c r="P58" s="201" t="inlineStr">
        <is>
          <t>Y</t>
        </is>
      </c>
      <c r="Q58" s="201">
        <f t="array" ref="Q58">OFFSET(INDIRECT(ADDRESS(MATCH(O58&amp;P58,$AB$1:$AB$56,0),COLUMN($AB$3))),MATCH($E58,$AC$3:$AC$12,-1),14)</f>
        <v/>
      </c>
      <c r="R58" s="214" t="inlineStr">
        <is>
          <t>VD-N2-W-12.540-M-RS</t>
        </is>
      </c>
      <c r="S58" s="214" t="inlineStr">
        <is>
          <t>14k+600~南桃園西出匝道(匝道0k+139)</t>
        </is>
      </c>
    </row>
    <row r="59">
      <c r="A59" s="203" t="n"/>
      <c r="B59" s="233" t="inlineStr">
        <is>
          <t>南桃園交流道-大湳交流道</t>
        </is>
      </c>
      <c r="C59" s="234" t="inlineStr">
        <is>
          <t>往東</t>
        </is>
      </c>
      <c r="D59" s="199">
        <f>Q59*(O59+IF(P59="Y",1,0))+N59</f>
        <v/>
      </c>
      <c r="E59" s="199" t="n">
        <v>100</v>
      </c>
      <c r="F59" s="192" t="n">
        <v>4573.2</v>
      </c>
      <c r="G59" s="200">
        <f>F59/D59</f>
        <v/>
      </c>
      <c r="H59" s="200" t="n">
        <v>98.72647601476015</v>
      </c>
      <c r="I59" s="100">
        <f>IF(G59&lt;=$U$4,"A",IF(G59&lt;=$U$5,"B",IF(G59&lt;=$U$6,"C",IF(G59&lt;=$U$7,"D",IF(G59&lt;=$U$8,"E","F")))))&amp;IF(H59/E59&gt;=$W$4,1,IF(H59/E59&gt;=$W$5,2,IF(H59/E59&gt;=$W$6,3,IF(H59/E59&gt;=$W$7,4,IF(H59/E59&gt;=$W$8,5,6)))))</f>
        <v/>
      </c>
      <c r="J59" s="192" t="n">
        <v>4735</v>
      </c>
      <c r="K59" s="200">
        <f>J59/D59</f>
        <v/>
      </c>
      <c r="L59" s="200" t="n">
        <v>94.55026109660574</v>
      </c>
      <c r="M59" s="100">
        <f>IF(K59&lt;=$U$4,"A",IF(K59&lt;=$U$5,"B",IF(K59&lt;=$U$6,"C",IF(K59&lt;=$U$7,"D",IF(K59&lt;=$U$8,"E","F")))))&amp;IF(L59/E59&gt;=$W$4,1,IF(L59/E59&gt;=$W$5,2,IF(L59/E59&gt;=$W$6,3,IF(L59/E59&gt;=$W$7,4,IF(L59/E59&gt;=$W$8,5,6)))))</f>
        <v/>
      </c>
      <c r="N59" s="208" t="n"/>
      <c r="O59" s="201" t="n">
        <v>3</v>
      </c>
      <c r="P59" s="201" t="inlineStr">
        <is>
          <t>Y</t>
        </is>
      </c>
      <c r="Q59" s="201">
        <f t="array" ref="Q59">OFFSET(INDIRECT(ADDRESS(MATCH(O59&amp;P59,$AB$1:$AB$56,0),COLUMN($AB$3))),MATCH($E59,$AC$3:$AC$12,-1),14)</f>
        <v/>
      </c>
      <c r="R59" s="214" t="inlineStr">
        <is>
          <t>VD-N2-E-14.460-M-LOOP</t>
        </is>
      </c>
      <c r="S59" s="214" t="inlineStr">
        <is>
          <t>15k+120~大湳東出匝道(匝道0k+070)</t>
        </is>
      </c>
    </row>
    <row r="60">
      <c r="A60" s="203" t="n"/>
      <c r="B60" s="225" t="inlineStr">
        <is>
          <t>大湳交流道-南桃園交流道</t>
        </is>
      </c>
      <c r="C60" s="237" t="inlineStr">
        <is>
          <t>往西</t>
        </is>
      </c>
      <c r="D60" s="238">
        <f>Q60*(O60+IF(P60="Y",1,0))+N60</f>
        <v/>
      </c>
      <c r="E60" s="238" t="n">
        <v>100</v>
      </c>
      <c r="F60" s="238" t="n">
        <v>-954</v>
      </c>
      <c r="G60" s="239">
        <f>F60/D60</f>
        <v/>
      </c>
      <c r="H60" s="239" t="n">
        <v>-1</v>
      </c>
      <c r="I60" s="135">
        <f>IF(G60&lt;=$U$4,"A",IF(G60&lt;=$U$5,"B",IF(G60&lt;=$U$6,"C",IF(G60&lt;=$U$7,"D",IF(G60&lt;=$U$8,"E","F")))))&amp;IF(H60/E60&gt;=$W$4,1,IF(H60/E60&gt;=$W$5,2,IF(H60/E60&gt;=$W$6,3,IF(H60/E60&gt;=$W$7,4,IF(H60/E60&gt;=$W$8,5,6)))))</f>
        <v/>
      </c>
      <c r="J60" s="238" t="n">
        <v>-948.7</v>
      </c>
      <c r="K60" s="239">
        <f>J60/D60</f>
        <v/>
      </c>
      <c r="L60" s="239" t="n">
        <v>-1</v>
      </c>
      <c r="M60" s="135">
        <f>IF(K60&lt;=$U$4,"A",IF(K60&lt;=$U$5,"B",IF(K60&lt;=$U$6,"C",IF(K60&lt;=$U$7,"D",IF(K60&lt;=$U$8,"E","F")))))&amp;IF(L60/E60&gt;=$W$4,1,IF(L60/E60&gt;=$W$5,2,IF(L60/E60&gt;=$W$6,3,IF(L60/E60&gt;=$W$7,4,IF(L60/E60&gt;=$W$8,5,6)))))</f>
        <v/>
      </c>
      <c r="N60" s="208" t="n"/>
      <c r="O60" s="201" t="n">
        <v>3</v>
      </c>
      <c r="P60" s="201" t="inlineStr">
        <is>
          <t>Y</t>
        </is>
      </c>
      <c r="Q60" s="201">
        <f t="array" ref="Q60">OFFSET(INDIRECT(ADDRESS(MATCH(O60&amp;P60,$AB$1:$AB$56,0),COLUMN($AB$3))),MATCH($E60,$AC$3:$AC$12,-1),14)</f>
        <v/>
      </c>
      <c r="R60" s="214" t="inlineStr">
        <is>
          <t>VD-N2-W-14.460-M-LOOP</t>
        </is>
      </c>
      <c r="S60" s="214" t="inlineStr">
        <is>
          <t>14k+600~南桃園西出匝道(匝道0k+139)</t>
        </is>
      </c>
    </row>
    <row r="61">
      <c r="A61" s="203" t="n"/>
      <c r="B61" s="233" t="inlineStr">
        <is>
          <t>南桃園交流道-大湳交流道</t>
        </is>
      </c>
      <c r="C61" s="234" t="inlineStr">
        <is>
          <t>往東</t>
        </is>
      </c>
      <c r="D61" s="199">
        <f>Q61*(O61+IF(P61="Y",1,0))+N61</f>
        <v/>
      </c>
      <c r="E61" s="199" t="n">
        <v>100</v>
      </c>
      <c r="F61" s="192" t="n">
        <v>5410.4</v>
      </c>
      <c r="G61" s="200">
        <f>F61/D61</f>
        <v/>
      </c>
      <c r="H61" s="200" t="n">
        <v>88.82890070921985</v>
      </c>
      <c r="I61" s="100">
        <f>IF(G61&lt;=$U$4,"A",IF(G61&lt;=$U$5,"B",IF(G61&lt;=$U$6,"C",IF(G61&lt;=$U$7,"D",IF(G61&lt;=$U$8,"E","F")))))&amp;IF(H61/E61&gt;=$W$4,1,IF(H61/E61&gt;=$W$5,2,IF(H61/E61&gt;=$W$6,3,IF(H61/E61&gt;=$W$7,4,IF(H61/E61&gt;=$W$8,5,6)))))</f>
        <v/>
      </c>
      <c r="J61" s="192" t="n">
        <v>5350.099999999999</v>
      </c>
      <c r="K61" s="200">
        <f>J61/D61</f>
        <v/>
      </c>
      <c r="L61" s="200" t="n">
        <v>68.99203000468823</v>
      </c>
      <c r="M61" s="100">
        <f>IF(K61&lt;=$U$4,"A",IF(K61&lt;=$U$5,"B",IF(K61&lt;=$U$6,"C",IF(K61&lt;=$U$7,"D",IF(K61&lt;=$U$8,"E","F")))))&amp;IF(L61/E61&gt;=$W$4,1,IF(L61/E61&gt;=$W$5,2,IF(L61/E61&gt;=$W$6,3,IF(L61/E61&gt;=$W$7,4,IF(L61/E61&gt;=$W$8,5,6)))))</f>
        <v/>
      </c>
      <c r="N61" s="208" t="n"/>
      <c r="O61" s="201" t="n">
        <v>3</v>
      </c>
      <c r="P61" s="201" t="inlineStr">
        <is>
          <t>Y</t>
        </is>
      </c>
      <c r="Q61" s="201">
        <f t="array" ref="Q61">OFFSET(INDIRECT(ADDRESS(MATCH(O61&amp;P61,$AB$1:$AB$56,0),COLUMN($AB$3))),MATCH($E61,$AC$3:$AC$12,-1),14)</f>
        <v/>
      </c>
      <c r="R61" s="214" t="inlineStr">
        <is>
          <t>VD-N2-E-16.390-M-RS</t>
        </is>
      </c>
      <c r="S61" s="214" t="inlineStr">
        <is>
          <t>15k+120~大湳東出匝道(匝道0k+070)</t>
        </is>
      </c>
    </row>
    <row r="62" ht="17.25" customHeight="1" s="189" thickBot="1">
      <c r="A62" s="203" t="n"/>
      <c r="B62" s="235" t="inlineStr">
        <is>
          <t>大湳交流道-南桃園交流道</t>
        </is>
      </c>
      <c r="C62" s="226" t="inlineStr">
        <is>
          <t>往西</t>
        </is>
      </c>
      <c r="D62" s="206">
        <f>Q62*(O62+IF(P62="Y",1,0))+N62</f>
        <v/>
      </c>
      <c r="E62" s="206" t="n">
        <v>100</v>
      </c>
      <c r="F62" s="205" t="n">
        <v>7694.500000000001</v>
      </c>
      <c r="G62" s="207">
        <f>F62/D62</f>
        <v/>
      </c>
      <c r="H62" s="207" t="n">
        <v>75.95997836668469</v>
      </c>
      <c r="I62" s="127">
        <f>IF(G62&lt;=$U$4,"A",IF(G62&lt;=$U$5,"B",IF(G62&lt;=$U$6,"C",IF(G62&lt;=$U$7,"D",IF(G62&lt;=$U$8,"E","F")))))&amp;IF(H62/E62&gt;=$W$4,1,IF(H62/E62&gt;=$W$5,2,IF(H62/E62&gt;=$W$6,3,IF(H62/E62&gt;=$W$7,4,IF(H62/E62&gt;=$W$8,5,6)))))</f>
        <v/>
      </c>
      <c r="J62" s="205" t="n">
        <v>4943.799999999999</v>
      </c>
      <c r="K62" s="207">
        <f>J62/D62</f>
        <v/>
      </c>
      <c r="L62" s="207" t="n">
        <v>91.59928168291431</v>
      </c>
      <c r="M62" s="127">
        <f>IF(K62&lt;=$U$4,"A",IF(K62&lt;=$U$5,"B",IF(K62&lt;=$U$6,"C",IF(K62&lt;=$U$7,"D",IF(K62&lt;=$U$8,"E","F")))))&amp;IF(L62/E62&gt;=$W$4,1,IF(L62/E62&gt;=$W$5,2,IF(L62/E62&gt;=$W$6,3,IF(L62/E62&gt;=$W$7,4,IF(L62/E62&gt;=$W$8,5,6)))))</f>
        <v/>
      </c>
      <c r="N62" s="208" t="n"/>
      <c r="O62" s="201" t="n">
        <v>3</v>
      </c>
      <c r="P62" s="201" t="inlineStr">
        <is>
          <t>Y</t>
        </is>
      </c>
      <c r="Q62" s="201">
        <f t="array" ref="Q62">OFFSET(INDIRECT(ADDRESS(MATCH(O62&amp;P62,$AB$1:$AB$56,0),COLUMN($AB$3))),MATCH($E62,$AC$3:$AC$12,-1),14)</f>
        <v/>
      </c>
      <c r="R62" s="214" t="inlineStr">
        <is>
          <t>VD-N2-W-16.390-M-RS</t>
        </is>
      </c>
      <c r="S62" s="214" t="inlineStr">
        <is>
          <t>14k+600~南桃園西出匝道(匝道0k+139)</t>
        </is>
      </c>
    </row>
    <row r="63">
      <c r="A63" s="203" t="n"/>
      <c r="B63" s="236" t="inlineStr">
        <is>
          <t>大湳交流道-鶯歌系統交流道</t>
        </is>
      </c>
      <c r="C63" s="234" t="inlineStr">
        <is>
          <t>往東</t>
        </is>
      </c>
      <c r="D63" s="199">
        <f>Q63*(O63+IF(P63="Y",1,0))+N63</f>
        <v/>
      </c>
      <c r="E63" s="199" t="n">
        <v>100</v>
      </c>
      <c r="F63" s="192" t="n">
        <v>6854</v>
      </c>
      <c r="G63" s="200">
        <f>F63/D63</f>
        <v/>
      </c>
      <c r="H63" s="200" t="n">
        <v>34.50808592807144</v>
      </c>
      <c r="I63" s="100">
        <f>IF(G63&lt;=$U$4,"A",IF(G63&lt;=$U$5,"B",IF(G63&lt;=$U$6,"C",IF(G63&lt;=$U$7,"D",IF(G63&lt;=$U$8,"E","F")))))&amp;IF(H63/E63&gt;=$W$4,1,IF(H63/E63&gt;=$W$5,2,IF(H63/E63&gt;=$W$6,3,IF(H63/E63&gt;=$W$7,4,IF(H63/E63&gt;=$W$8,5,6)))))</f>
        <v/>
      </c>
      <c r="J63" s="192" t="n">
        <v>3651</v>
      </c>
      <c r="K63" s="200">
        <f>J63/D63</f>
        <v/>
      </c>
      <c r="L63" s="200" t="n">
        <v>38.74529914529914</v>
      </c>
      <c r="M63" s="100">
        <f>IF(K63&lt;=$U$4,"A",IF(K63&lt;=$U$5,"B",IF(K63&lt;=$U$6,"C",IF(K63&lt;=$U$7,"D",IF(K63&lt;=$U$8,"E","F")))))&amp;IF(L63/E63&gt;=$W$4,1,IF(L63/E63&gt;=$W$5,2,IF(L63/E63&gt;=$W$6,3,IF(L63/E63&gt;=$W$7,4,IF(L63/E63&gt;=$W$8,5,6)))))</f>
        <v/>
      </c>
      <c r="N63" s="208" t="n"/>
      <c r="O63" s="201" t="n">
        <v>3</v>
      </c>
      <c r="P63" s="201" t="inlineStr">
        <is>
          <t>Y</t>
        </is>
      </c>
      <c r="Q63" s="201">
        <f t="array" ref="Q63">OFFSET(INDIRECT(ADDRESS(MATCH(O63&amp;P63,$AB$1:$AB$56,0),COLUMN($AB$3))),MATCH($E63,$AC$3:$AC$12,-1),14)</f>
        <v/>
      </c>
      <c r="R63" s="214" t="inlineStr">
        <is>
          <t>VD-N2-E-19.300-M-RS</t>
        </is>
      </c>
      <c r="S63" s="214" t="inlineStr">
        <is>
          <t>大湳交流道(19k+250)~鶯歌系統(匝道0k+253)</t>
        </is>
      </c>
    </row>
    <row r="64">
      <c r="A64" s="203" t="n"/>
      <c r="B64" s="232" t="inlineStr">
        <is>
          <t>鶯歌系統交流道-大湳交流道</t>
        </is>
      </c>
      <c r="C64" s="230" t="inlineStr">
        <is>
          <t>往西</t>
        </is>
      </c>
      <c r="D64" s="213">
        <f>Q64*(O64+IF(P64="Y",1,0))+N64</f>
        <v/>
      </c>
      <c r="E64" s="213" t="n">
        <v>100</v>
      </c>
      <c r="F64" s="213" t="n">
        <v>5915.500000000001</v>
      </c>
      <c r="G64" s="219">
        <f>F64/D64</f>
        <v/>
      </c>
      <c r="H64" s="219" t="n">
        <v>80.94565217391305</v>
      </c>
      <c r="I64" s="140">
        <f>IF(G64&lt;=$U$4,"A",IF(G64&lt;=$U$5,"B",IF(G64&lt;=$U$6,"C",IF(G64&lt;=$U$7,"D",IF(G64&lt;=$U$8,"E","F")))))&amp;IF(H64/E64&gt;=$W$4,1,IF(H64/E64&gt;=$W$5,2,IF(H64/E64&gt;=$W$6,3,IF(H64/E64&gt;=$W$7,4,IF(H64/E64&gt;=$W$8,5,6)))))</f>
        <v/>
      </c>
      <c r="J64" s="213" t="n">
        <v>4947.9</v>
      </c>
      <c r="K64" s="219">
        <f>J64/D64</f>
        <v/>
      </c>
      <c r="L64" s="219" t="n">
        <v>83.06578042631217</v>
      </c>
      <c r="M64" s="140">
        <f>IF(K64&lt;=$U$4,"A",IF(K64&lt;=$U$5,"B",IF(K64&lt;=$U$6,"C",IF(K64&lt;=$U$7,"D",IF(K64&lt;=$U$8,"E","F")))))&amp;IF(L64/E64&gt;=$W$4,1,IF(L64/E64&gt;=$W$5,2,IF(L64/E64&gt;=$W$6,3,IF(L64/E64&gt;=$W$7,4,IF(L64/E64&gt;=$W$8,5,6)))))</f>
        <v/>
      </c>
      <c r="N64" s="208" t="n"/>
      <c r="O64" s="201" t="n">
        <v>3</v>
      </c>
      <c r="P64" s="201" t="inlineStr">
        <is>
          <t>Y</t>
        </is>
      </c>
      <c r="Q64" s="201">
        <f t="array" ref="Q64">OFFSET(INDIRECT(ADDRESS(MATCH(O64&amp;P64,$AB$1:$AB$56,0),COLUMN($AB$3))),MATCH($E64,$AC$3:$AC$12,-1),14)</f>
        <v/>
      </c>
      <c r="R64" s="214" t="inlineStr">
        <is>
          <t>VD-N2-W-19.310-M-LOOP</t>
        </is>
      </c>
      <c r="S64" s="214" t="inlineStr">
        <is>
          <t>鶯歌系統西入匝道(0k+700)~大湳西出匝道(0k+160)</t>
        </is>
      </c>
    </row>
    <row r="65">
      <c r="A65" s="203" t="n"/>
      <c r="B65" s="227" t="inlineStr">
        <is>
          <t>大湳交流道-鶯歌系統交流道</t>
        </is>
      </c>
      <c r="C65" s="228" t="inlineStr">
        <is>
          <t>往東</t>
        </is>
      </c>
      <c r="D65" s="212">
        <f>Q65*(O65+IF(P65="Y",1,0))+N65</f>
        <v/>
      </c>
      <c r="E65" s="212" t="n">
        <v>100</v>
      </c>
      <c r="F65" s="212" t="n">
        <v>5426.699999999999</v>
      </c>
      <c r="G65" s="217">
        <f>F65/D65</f>
        <v/>
      </c>
      <c r="H65" s="217" t="n">
        <v>55.60540019286403</v>
      </c>
      <c r="I65" s="138">
        <f>IF(G65&lt;=$U$4,"A",IF(G65&lt;=$U$5,"B",IF(G65&lt;=$U$6,"C",IF(G65&lt;=$U$7,"D",IF(G65&lt;=$U$8,"E","F")))))&amp;IF(H65/E65&gt;=$W$4,1,IF(H65/E65&gt;=$W$5,2,IF(H65/E65&gt;=$W$6,3,IF(H65/E65&gt;=$W$7,4,IF(H65/E65&gt;=$W$8,5,6)))))</f>
        <v/>
      </c>
      <c r="J65" s="212" t="n">
        <v>3461.3</v>
      </c>
      <c r="K65" s="217">
        <f>J65/D65</f>
        <v/>
      </c>
      <c r="L65" s="217" t="n">
        <v>32.38624019312009</v>
      </c>
      <c r="M65" s="138">
        <f>IF(K65&lt;=$U$4,"A",IF(K65&lt;=$U$5,"B",IF(K65&lt;=$U$6,"C",IF(K65&lt;=$U$7,"D",IF(K65&lt;=$U$8,"E","F")))))&amp;IF(L65/E65&gt;=$W$4,1,IF(L65/E65&gt;=$W$5,2,IF(L65/E65&gt;=$W$6,3,IF(L65/E65&gt;=$W$7,4,IF(L65/E65&gt;=$W$8,5,6)))))</f>
        <v/>
      </c>
      <c r="N65" s="208" t="n"/>
      <c r="O65" s="201" t="n">
        <v>3</v>
      </c>
      <c r="P65" s="201" t="inlineStr">
        <is>
          <t>Y</t>
        </is>
      </c>
      <c r="Q65" s="201">
        <f t="array" ref="Q65">OFFSET(INDIRECT(ADDRESS(MATCH(O65&amp;P65,$AB$1:$AB$56,0),COLUMN($AB$3))),MATCH($E65,$AC$3:$AC$12,-1),14)</f>
        <v/>
      </c>
      <c r="R65" s="214" t="inlineStr">
        <is>
          <t>VD-N2-E-19.610-M-LOOP</t>
        </is>
      </c>
      <c r="S65" s="214" t="inlineStr">
        <is>
          <t>大湳交流道(19k+250)~鶯歌系統(匝道0k+253)</t>
        </is>
      </c>
    </row>
    <row r="66" ht="17.25" customHeight="1" s="189" thickBot="1">
      <c r="A66" s="196" t="n"/>
      <c r="B66" s="235" t="inlineStr">
        <is>
          <t>鶯歌系統交流道-大湳交流道</t>
        </is>
      </c>
      <c r="C66" s="226" t="inlineStr">
        <is>
          <t>往西</t>
        </is>
      </c>
      <c r="D66" s="206">
        <f>Q66*(O66+IF(P66="Y",1,0))+N66</f>
        <v/>
      </c>
      <c r="E66" s="206" t="n">
        <v>100</v>
      </c>
      <c r="F66" s="205" t="n">
        <v>7544.1</v>
      </c>
      <c r="G66" s="207">
        <f>F66/D66</f>
        <v/>
      </c>
      <c r="H66" s="207" t="n">
        <v>78.58164111065064</v>
      </c>
      <c r="I66" s="127">
        <f>IF(G66&lt;=$U$4,"A",IF(G66&lt;=$U$5,"B",IF(G66&lt;=$U$6,"C",IF(G66&lt;=$U$7,"D",IF(G66&lt;=$U$8,"E","F")))))&amp;IF(H66/E66&gt;=$W$4,1,IF(H66/E66&gt;=$W$5,2,IF(H66/E66&gt;=$W$6,3,IF(H66/E66&gt;=$W$7,4,IF(H66/E66&gt;=$W$8,5,6)))))</f>
        <v/>
      </c>
      <c r="J66" s="205" t="n">
        <v>4875.800000000001</v>
      </c>
      <c r="K66" s="207">
        <f>J66/D66</f>
        <v/>
      </c>
      <c r="L66" s="207" t="n">
        <v>79.96713021491783</v>
      </c>
      <c r="M66" s="127">
        <f>IF(K66&lt;=$U$4,"A",IF(K66&lt;=$U$5,"B",IF(K66&lt;=$U$6,"C",IF(K66&lt;=$U$7,"D",IF(K66&lt;=$U$8,"E","F")))))&amp;IF(L66/E66&gt;=$W$4,1,IF(L66/E66&gt;=$W$5,2,IF(L66/E66&gt;=$W$6,3,IF(L66/E66&gt;=$W$7,4,IF(L66/E66&gt;=$W$8,5,6)))))</f>
        <v/>
      </c>
      <c r="N66" s="208" t="n"/>
      <c r="O66" s="201" t="n">
        <v>3</v>
      </c>
      <c r="P66" s="201" t="inlineStr">
        <is>
          <t>Y</t>
        </is>
      </c>
      <c r="Q66" s="201">
        <f t="array" ref="Q66">OFFSET(INDIRECT(ADDRESS(MATCH(O66&amp;P66,$AB$1:$AB$56,0),COLUMN($AB$3))),MATCH($E66,$AC$3:$AC$12,-1),14)</f>
        <v/>
      </c>
      <c r="R66" s="214" t="inlineStr">
        <is>
          <t>VD-N2-W-19.710-M-RS</t>
        </is>
      </c>
      <c r="S66" s="214" t="inlineStr">
        <is>
          <t>鶯歌系統西入匝道(0k+700)~大湳西出匝道(0k+160)</t>
        </is>
      </c>
    </row>
    <row r="67">
      <c r="Q67" s="208" t="n"/>
    </row>
    <row r="68">
      <c r="Q68" s="208" t="n"/>
    </row>
    <row r="69">
      <c r="A69" s="240" t="inlineStr">
        <is>
          <t>國道2號</t>
        </is>
      </c>
      <c r="B69" s="240" t="inlineStr">
        <is>
          <t>桃園機場交流道-大園交流道</t>
        </is>
      </c>
      <c r="C69" s="199" t="inlineStr">
        <is>
          <t>往東</t>
        </is>
      </c>
      <c r="D69" s="199">
        <f>Q69*(O69+IF(P69="Y",1,0))+N69</f>
        <v/>
      </c>
      <c r="E69" s="199" t="n">
        <v>80</v>
      </c>
      <c r="F69" s="199" t="n">
        <v>2408.3</v>
      </c>
      <c r="G69" s="241">
        <f>F69/D69</f>
        <v/>
      </c>
      <c r="H69" s="241" t="n">
        <v>72.54613030170529</v>
      </c>
      <c r="I69" s="100">
        <f>IF(G69&lt;=$U$4,"A",IF(G69&lt;=$U$5,"B",IF(G69&lt;=$U$6,"C",IF(G69&lt;=$U$7,"D",IF(G69&lt;=$U$8,"E","F")))))&amp;IF(H69/E69&gt;=$W$4,1,IF(H69/E69&gt;=$W$5,2,IF(H69/E69&gt;=$W$6,3,IF(H69/E69&gt;=$W$7,4,IF(H69/E69&gt;=$W$8,5,6)))))</f>
        <v/>
      </c>
      <c r="J69" s="199" t="n">
        <v>4066.5</v>
      </c>
      <c r="K69" s="241">
        <f>J69/D69</f>
        <v/>
      </c>
      <c r="L69" s="241" t="n">
        <v>68.21115335868187</v>
      </c>
      <c r="M69" s="100">
        <f>IF(K69&lt;=$U$4,"A",IF(K69&lt;=$U$5,"B",IF(K69&lt;=$U$6,"C",IF(K69&lt;=$U$7,"D",IF(K69&lt;=$U$8,"E","F")))))&amp;IF(L69/E69&gt;=$W$4,1,IF(L69/E69&gt;=$W$5,2,IF(L69/E69&gt;=$W$6,3,IF(L69/E69&gt;=$W$7,4,IF(L69/E69&gt;=$W$8,5,6)))))</f>
        <v/>
      </c>
      <c r="N69" s="201" t="n"/>
      <c r="O69" s="201" t="n">
        <v>3</v>
      </c>
      <c r="P69" s="201" t="inlineStr">
        <is>
          <t>N</t>
        </is>
      </c>
      <c r="Q69" s="201">
        <f t="array" ref="Q69">OFFSET(INDIRECT(ADDRESS(MATCH(O69&amp;P69,$AB$1:$AB$56,0),COLUMN($AB$3))),MATCH($E69,$AC$3:$AC$12,-1),14)</f>
        <v/>
      </c>
      <c r="R69" s="214" t="inlineStr">
        <is>
          <t>VD-N2-E-0.000-M-LOOP</t>
        </is>
      </c>
    </row>
    <row r="70">
      <c r="A70" s="203" t="n"/>
      <c r="B70" s="242" t="inlineStr">
        <is>
          <t>大園交流道-桃園機場交流道</t>
        </is>
      </c>
      <c r="C70" s="206" t="inlineStr">
        <is>
          <t>往西</t>
        </is>
      </c>
      <c r="D70" s="206">
        <f>Q70*(O70+IF(P70="Y",1,0))+N70</f>
        <v/>
      </c>
      <c r="E70" s="206" t="n">
        <v>80</v>
      </c>
      <c r="F70" s="206" t="n">
        <v>4128.200000000001</v>
      </c>
      <c r="G70" s="243">
        <f>F70/D70</f>
        <v/>
      </c>
      <c r="H70" s="243" t="n">
        <v>69.81695423855965</v>
      </c>
      <c r="I70" s="127">
        <f>IF(G70&lt;=$U$4,"A",IF(G70&lt;=$U$5,"B",IF(G70&lt;=$U$6,"C",IF(G70&lt;=$U$7,"D",IF(G70&lt;=$U$8,"E","F")))))&amp;IF(H70/E70&gt;=$W$4,1,IF(H70/E70&gt;=$W$5,2,IF(H70/E70&gt;=$W$6,3,IF(H70/E70&gt;=$W$7,4,IF(H70/E70&gt;=$W$8,5,6)))))</f>
        <v/>
      </c>
      <c r="J70" s="206" t="n">
        <v>2003.1</v>
      </c>
      <c r="K70" s="243">
        <f>J70/D70</f>
        <v/>
      </c>
      <c r="L70" s="243" t="n">
        <v>75.67765567765568</v>
      </c>
      <c r="M70" s="127">
        <f>IF(K70&lt;=$U$4,"A",IF(K70&lt;=$U$5,"B",IF(K70&lt;=$U$6,"C",IF(K70&lt;=$U$7,"D",IF(K70&lt;=$U$8,"E","F")))))&amp;IF(L70/E70&gt;=$W$4,1,IF(L70/E70&gt;=$W$5,2,IF(L70/E70&gt;=$W$6,3,IF(L70/E70&gt;=$W$7,4,IF(L70/E70&gt;=$W$8,5,6)))))</f>
        <v/>
      </c>
      <c r="N70" s="201" t="n"/>
      <c r="O70" s="201" t="n">
        <v>3</v>
      </c>
      <c r="P70" s="201" t="inlineStr">
        <is>
          <t>N</t>
        </is>
      </c>
      <c r="Q70" s="201">
        <f t="array" ref="Q70">OFFSET(INDIRECT(ADDRESS(MATCH(O70&amp;P70,$AB$1:$AB$56,0),COLUMN($AB$3))),MATCH($E70,$AC$3:$AC$12,-1),14)</f>
        <v/>
      </c>
      <c r="R70" s="214" t="inlineStr">
        <is>
          <t>VD-N2-W-0.020-M-LOOP</t>
        </is>
      </c>
    </row>
    <row r="71">
      <c r="A71" s="203" t="n"/>
      <c r="B71" s="240" t="inlineStr">
        <is>
          <t>大園交流道-大竹交流道</t>
        </is>
      </c>
      <c r="C71" s="199" t="inlineStr">
        <is>
          <t>往東</t>
        </is>
      </c>
      <c r="D71" s="199">
        <f>Q71*(O71+IF(P71="Y",1,0))+N71</f>
        <v/>
      </c>
      <c r="E71" s="199" t="n">
        <v>100</v>
      </c>
      <c r="F71" s="199" t="n">
        <v>4039.699999999999</v>
      </c>
      <c r="G71" s="241">
        <f>F71/D71</f>
        <v/>
      </c>
      <c r="H71" s="241" t="n">
        <v>91.13851167843563</v>
      </c>
      <c r="I71" s="100">
        <f>IF(G71&lt;=$U$4,"A",IF(G71&lt;=$U$5,"B",IF(G71&lt;=$U$6,"C",IF(G71&lt;=$U$7,"D",IF(G71&lt;=$U$8,"E","F")))))&amp;IF(H71/E71&gt;=$W$4,1,IF(H71/E71&gt;=$W$5,2,IF(H71/E71&gt;=$W$6,3,IF(H71/E71&gt;=$W$7,4,IF(H71/E71&gt;=$W$8,5,6)))))</f>
        <v/>
      </c>
      <c r="J71" s="199" t="n">
        <v>5950.8</v>
      </c>
      <c r="K71" s="241">
        <f>J71/D71</f>
        <v/>
      </c>
      <c r="L71" s="241" t="n">
        <v>43.59038699416858</v>
      </c>
      <c r="M71" s="100">
        <f>IF(K71&lt;=$U$4,"A",IF(K71&lt;=$U$5,"B",IF(K71&lt;=$U$6,"C",IF(K71&lt;=$U$7,"D",IF(K71&lt;=$U$8,"E","F")))))&amp;IF(L71/E71&gt;=$W$4,1,IF(L71/E71&gt;=$W$5,2,IF(L71/E71&gt;=$W$6,3,IF(L71/E71&gt;=$W$7,4,IF(L71/E71&gt;=$W$8,5,6)))))</f>
        <v/>
      </c>
      <c r="N71" s="208" t="n"/>
      <c r="O71" s="201" t="n">
        <v>4</v>
      </c>
      <c r="P71" s="201" t="inlineStr">
        <is>
          <t>N</t>
        </is>
      </c>
      <c r="Q71" s="201">
        <f t="array" ref="Q71">OFFSET(INDIRECT(ADDRESS(MATCH(O71&amp;P71,$AB$1:$AB$56,0),COLUMN($AB$3))),MATCH($E71,$AC$3:$AC$12,-1),14)</f>
        <v/>
      </c>
      <c r="R71" s="214" t="inlineStr">
        <is>
          <t>VD-N2-E-4.140-M-LOOP</t>
        </is>
      </c>
    </row>
    <row r="72">
      <c r="A72" s="203" t="n"/>
      <c r="B72" s="242" t="inlineStr">
        <is>
          <t>大竹交流道-大園交流道</t>
        </is>
      </c>
      <c r="C72" s="206" t="inlineStr">
        <is>
          <t>往西</t>
        </is>
      </c>
      <c r="D72" s="206">
        <f>Q72*(O72+IF(P72="Y",1,0))+N72</f>
        <v/>
      </c>
      <c r="E72" s="206" t="n">
        <v>100</v>
      </c>
      <c r="F72" s="206" t="n">
        <v>6858.199999999999</v>
      </c>
      <c r="G72" s="243">
        <f>F72/D72</f>
        <v/>
      </c>
      <c r="H72" s="243" t="n">
        <v>90.39687795648061</v>
      </c>
      <c r="I72" s="127">
        <f>IF(G72&lt;=$U$4,"A",IF(G72&lt;=$U$5,"B",IF(G72&lt;=$U$6,"C",IF(G72&lt;=$U$7,"D",IF(G72&lt;=$U$8,"E","F")))))&amp;IF(H72/E72&gt;=$W$4,1,IF(H72/E72&gt;=$W$5,2,IF(H72/E72&gt;=$W$6,3,IF(H72/E72&gt;=$W$7,4,IF(H72/E72&gt;=$W$8,5,6)))))</f>
        <v/>
      </c>
      <c r="J72" s="206" t="n">
        <v>3500.3</v>
      </c>
      <c r="K72" s="243">
        <f>J72/D72</f>
        <v/>
      </c>
      <c r="L72" s="243" t="n">
        <v>96.27051767676768</v>
      </c>
      <c r="M72" s="127">
        <f>IF(K72&lt;=$U$4,"A",IF(K72&lt;=$U$5,"B",IF(K72&lt;=$U$6,"C",IF(K72&lt;=$U$7,"D",IF(K72&lt;=$U$8,"E","F")))))&amp;IF(L72/E72&gt;=$W$4,1,IF(L72/E72&gt;=$W$5,2,IF(L72/E72&gt;=$W$6,3,IF(L72/E72&gt;=$W$7,4,IF(L72/E72&gt;=$W$8,5,6)))))</f>
        <v/>
      </c>
      <c r="N72" s="208" t="n"/>
      <c r="O72" s="201" t="n">
        <v>4</v>
      </c>
      <c r="P72" s="201" t="inlineStr">
        <is>
          <t>N</t>
        </is>
      </c>
      <c r="Q72" s="201">
        <f t="array" ref="Q72">OFFSET(INDIRECT(ADDRESS(MATCH(O72&amp;P72,$AB$1:$AB$56,0),COLUMN($AB$3))),MATCH($E72,$AC$3:$AC$12,-1),14)</f>
        <v/>
      </c>
      <c r="R72" s="214" t="inlineStr">
        <is>
          <t>VD-N2-W-3.360-M-RS</t>
        </is>
      </c>
    </row>
    <row r="73">
      <c r="A73" s="203" t="n"/>
      <c r="B73" s="240" t="inlineStr">
        <is>
          <t>大竹交流道-機場系統交流道</t>
        </is>
      </c>
      <c r="C73" s="199" t="inlineStr">
        <is>
          <t>往東</t>
        </is>
      </c>
      <c r="D73" s="199">
        <f>Q73*(O73+IF(P73="Y",1,0))+N73</f>
        <v/>
      </c>
      <c r="E73" s="199" t="n">
        <v>100</v>
      </c>
      <c r="F73" s="199" t="n">
        <v>5510.000000000001</v>
      </c>
      <c r="G73" s="241">
        <f>F73/D73</f>
        <v/>
      </c>
      <c r="H73" s="241" t="n">
        <v>87.20966105134971</v>
      </c>
      <c r="I73" s="100">
        <f>IF(G73&lt;=$U$4,"A",IF(G73&lt;=$U$5,"B",IF(G73&lt;=$U$6,"C",IF(G73&lt;=$U$7,"D",IF(G73&lt;=$U$8,"E","F")))))&amp;IF(H73/E73&gt;=$W$4,1,IF(H73/E73&gt;=$W$5,2,IF(H73/E73&gt;=$W$6,3,IF(H73/E73&gt;=$W$7,4,IF(H73/E73&gt;=$W$8,5,6)))))</f>
        <v/>
      </c>
      <c r="J73" s="199" t="n">
        <v>6526.2</v>
      </c>
      <c r="K73" s="241">
        <f>J73/D73</f>
        <v/>
      </c>
      <c r="L73" s="241" t="n">
        <v>42.36626676076217</v>
      </c>
      <c r="M73" s="100">
        <f>IF(K73&lt;=$U$4,"A",IF(K73&lt;=$U$5,"B",IF(K73&lt;=$U$6,"C",IF(K73&lt;=$U$7,"D",IF(K73&lt;=$U$8,"E","F")))))&amp;IF(L73/E73&gt;=$W$4,1,IF(L73/E73&gt;=$W$5,2,IF(L73/E73&gt;=$W$6,3,IF(L73/E73&gt;=$W$7,4,IF(L73/E73&gt;=$W$8,5,6)))))</f>
        <v/>
      </c>
      <c r="N73" s="208" t="n"/>
      <c r="O73" s="201" t="n">
        <v>4</v>
      </c>
      <c r="P73" s="201" t="inlineStr">
        <is>
          <t>N</t>
        </is>
      </c>
      <c r="Q73" s="201">
        <f t="array" ref="Q73">OFFSET(INDIRECT(ADDRESS(MATCH(O73&amp;P73,$AB$1:$AB$56,0),COLUMN($AB$3))),MATCH($E73,$AC$3:$AC$12,-1),14)</f>
        <v/>
      </c>
      <c r="R73" s="214" t="inlineStr">
        <is>
          <t>VD-N2-E-6.950-M-RS</t>
        </is>
      </c>
      <c r="S73" s="214" t="n"/>
    </row>
    <row r="74">
      <c r="A74" s="203" t="n"/>
      <c r="B74" s="242" t="inlineStr">
        <is>
          <t>機場系統交流道-大竹交流道</t>
        </is>
      </c>
      <c r="C74" s="206" t="inlineStr">
        <is>
          <t>往西</t>
        </is>
      </c>
      <c r="D74" s="206">
        <f>Q74*(O74+IF(P74="Y",1,0))+N74</f>
        <v/>
      </c>
      <c r="E74" s="206" t="n">
        <v>100</v>
      </c>
      <c r="F74" s="206" t="n">
        <v>7853.299999999999</v>
      </c>
      <c r="G74" s="243">
        <f>F74/D74</f>
        <v/>
      </c>
      <c r="H74" s="243" t="n">
        <v>55.51557233382769</v>
      </c>
      <c r="I74" s="127">
        <f>IF(G74&lt;=$U$4,"A",IF(G74&lt;=$U$5,"B",IF(G74&lt;=$U$6,"C",IF(G74&lt;=$U$7,"D",IF(G74&lt;=$U$8,"E","F")))))&amp;IF(H74/E74&gt;=$W$4,1,IF(H74/E74&gt;=$W$5,2,IF(H74/E74&gt;=$W$6,3,IF(H74/E74&gt;=$W$7,4,IF(H74/E74&gt;=$W$8,5,6)))))</f>
        <v/>
      </c>
      <c r="J74" s="206" t="n">
        <v>4604.4</v>
      </c>
      <c r="K74" s="243">
        <f>J74/D74</f>
        <v/>
      </c>
      <c r="L74" s="243" t="n">
        <v>81.95004604051566</v>
      </c>
      <c r="M74" s="127">
        <f>IF(K74&lt;=$U$4,"A",IF(K74&lt;=$U$5,"B",IF(K74&lt;=$U$6,"C",IF(K74&lt;=$U$7,"D",IF(K74&lt;=$U$8,"E","F")))))&amp;IF(L74/E74&gt;=$W$4,1,IF(L74/E74&gt;=$W$5,2,IF(L74/E74&gt;=$W$6,3,IF(L74/E74&gt;=$W$7,4,IF(L74/E74&gt;=$W$8,5,6)))))</f>
        <v/>
      </c>
      <c r="N74" s="208">
        <f>$AW$57</f>
        <v/>
      </c>
      <c r="O74" s="201" t="n">
        <v>4</v>
      </c>
      <c r="P74" s="201" t="inlineStr">
        <is>
          <t>N</t>
        </is>
      </c>
      <c r="Q74" s="201">
        <f t="array" ref="Q74">OFFSET(INDIRECT(ADDRESS(MATCH(O74&amp;P74,$AB$1:$AB$56,0),COLUMN($AB$3))),MATCH($E74,$AC$3:$AC$12,-1),14)</f>
        <v/>
      </c>
      <c r="R74" s="214" t="inlineStr">
        <is>
          <t>VD-N2-W-6.260-M-LOOP</t>
        </is>
      </c>
      <c r="S74" s="214" t="inlineStr">
        <is>
          <t>機場系統(8k+250)~大竹(6k+400)</t>
        </is>
      </c>
    </row>
    <row r="75">
      <c r="A75" s="203" t="n"/>
      <c r="B75" s="240" t="inlineStr">
        <is>
          <t>機場系統交流道-南桃園交流道</t>
        </is>
      </c>
      <c r="C75" s="199" t="inlineStr">
        <is>
          <t>往東</t>
        </is>
      </c>
      <c r="D75" s="199">
        <f>Q75*(O75+IF(P75="Y",1,0))+N75</f>
        <v/>
      </c>
      <c r="E75" s="199" t="n">
        <v>100</v>
      </c>
      <c r="F75" s="199" t="n">
        <v>4831.9</v>
      </c>
      <c r="G75" s="241">
        <f>F75/D75</f>
        <v/>
      </c>
      <c r="H75" s="241" t="n">
        <v>76.31234199034705</v>
      </c>
      <c r="I75" s="100">
        <f>IF(G75&lt;=$U$4,"A",IF(G75&lt;=$U$5,"B",IF(G75&lt;=$U$6,"C",IF(G75&lt;=$U$7,"D",IF(G75&lt;=$U$8,"E","F")))))&amp;IF(H75/E75&gt;=$W$4,1,IF(H75/E75&gt;=$W$5,2,IF(H75/E75&gt;=$W$6,3,IF(H75/E75&gt;=$W$7,4,IF(H75/E75&gt;=$W$8,5,6)))))</f>
        <v/>
      </c>
      <c r="J75" s="199" t="n">
        <v>5683.7</v>
      </c>
      <c r="K75" s="241">
        <f>J75/D75</f>
        <v/>
      </c>
      <c r="L75" s="241" t="n">
        <v>56.92019632794037</v>
      </c>
      <c r="M75" s="100">
        <f>IF(K75&lt;=$U$4,"A",IF(K75&lt;=$U$5,"B",IF(K75&lt;=$U$6,"C",IF(K75&lt;=$U$7,"D",IF(K75&lt;=$U$8,"E","F")))))&amp;IF(L75/E75&gt;=$W$4,1,IF(L75/E75&gt;=$W$5,2,IF(L75/E75&gt;=$W$6,3,IF(L75/E75&gt;=$W$7,4,IF(L75/E75&gt;=$W$8,5,6)))))</f>
        <v/>
      </c>
      <c r="N75" s="208" t="n"/>
      <c r="O75" s="201" t="n">
        <v>3</v>
      </c>
      <c r="P75" s="201" t="inlineStr">
        <is>
          <t>Y</t>
        </is>
      </c>
      <c r="Q75" s="201">
        <f t="array" ref="Q75">OFFSET(INDIRECT(ADDRESS(MATCH(O75&amp;P75,$AB$1:$AB$56,0),COLUMN($AB$3))),MATCH($E75,$AC$3:$AC$12,-1),14)</f>
        <v/>
      </c>
      <c r="R75" s="214" t="inlineStr">
        <is>
          <t>VD-N2-E-10.800-M-LOOP</t>
        </is>
      </c>
      <c r="S75" s="214" t="inlineStr">
        <is>
          <t>機場系統(9k+680)~南桃園(10k+915)</t>
        </is>
      </c>
    </row>
    <row r="76">
      <c r="A76" s="203" t="n"/>
      <c r="B76" s="242" t="inlineStr">
        <is>
          <t>南桃園交流道-機場系統交流道</t>
        </is>
      </c>
      <c r="C76" s="206" t="inlineStr">
        <is>
          <t>往西</t>
        </is>
      </c>
      <c r="D76" s="206">
        <f>Q76*(O76+IF(P76="Y",1,0))+N76</f>
        <v/>
      </c>
      <c r="E76" s="206" t="n">
        <v>100</v>
      </c>
      <c r="F76" s="206" t="n">
        <v>7398.9</v>
      </c>
      <c r="G76" s="243">
        <f>F76/D76</f>
        <v/>
      </c>
      <c r="H76" s="243" t="n">
        <v>58.78270542865619</v>
      </c>
      <c r="I76" s="127">
        <f>IF(G76&lt;=$U$4,"A",IF(G76&lt;=$U$5,"B",IF(G76&lt;=$U$6,"C",IF(G76&lt;=$U$7,"D",IF(G76&lt;=$U$8,"E","F")))))&amp;IF(H76/E76&gt;=$W$4,1,IF(H76/E76&gt;=$W$5,2,IF(H76/E76&gt;=$W$6,3,IF(H76/E76&gt;=$W$7,4,IF(H76/E76&gt;=$W$8,5,6)))))</f>
        <v/>
      </c>
      <c r="J76" s="206" t="n">
        <v>4778.8</v>
      </c>
      <c r="K76" s="243">
        <f>J76/D76</f>
        <v/>
      </c>
      <c r="L76" s="243" t="n">
        <v>79.8254835039818</v>
      </c>
      <c r="M76" s="127">
        <f>IF(K76&lt;=$U$4,"A",IF(K76&lt;=$U$5,"B",IF(K76&lt;=$U$6,"C",IF(K76&lt;=$U$7,"D",IF(K76&lt;=$U$8,"E","F")))))&amp;IF(L76/E76&gt;=$W$4,1,IF(L76/E76&gt;=$W$5,2,IF(L76/E76&gt;=$W$6,3,IF(L76/E76&gt;=$W$7,4,IF(L76/E76&gt;=$W$8,5,6)))))</f>
        <v/>
      </c>
      <c r="N76" s="208" t="n"/>
      <c r="O76" s="201" t="n">
        <v>3</v>
      </c>
      <c r="P76" s="201" t="inlineStr">
        <is>
          <t>N</t>
        </is>
      </c>
      <c r="Q76" s="201">
        <f t="array" ref="Q76">OFFSET(INDIRECT(ADDRESS(MATCH(O76&amp;P76,$AB$1:$AB$56,0),COLUMN($AB$3))),MATCH($E76,$AC$3:$AC$12,-1),14)</f>
        <v/>
      </c>
      <c r="R76" s="214" t="inlineStr">
        <is>
          <t>VD-N2-W-10.530-M-RS</t>
        </is>
      </c>
      <c r="S76" s="214" t="n"/>
    </row>
    <row r="77">
      <c r="A77" s="203" t="n"/>
      <c r="B77" s="240" t="inlineStr">
        <is>
          <t>南桃園交流道-大湳交流道</t>
        </is>
      </c>
      <c r="C77" s="199" t="inlineStr">
        <is>
          <t>往東</t>
        </is>
      </c>
      <c r="D77" s="199">
        <f>Q77*(O77+IF(P77="Y",1,0))+N77</f>
        <v/>
      </c>
      <c r="E77" s="199" t="n">
        <v>100</v>
      </c>
      <c r="F77" s="199" t="n">
        <v>5071.3</v>
      </c>
      <c r="G77" s="241">
        <f>F77/D77</f>
        <v/>
      </c>
      <c r="H77" s="241" t="n">
        <v>87.51951951951952</v>
      </c>
      <c r="I77" s="100">
        <f>IF(G77&lt;=$U$4,"A",IF(G77&lt;=$U$5,"B",IF(G77&lt;=$U$6,"C",IF(G77&lt;=$U$7,"D",IF(G77&lt;=$U$8,"E","F")))))&amp;IF(H77/E77&gt;=$W$4,1,IF(H77/E77&gt;=$W$5,2,IF(H77/E77&gt;=$W$6,3,IF(H77/E77&gt;=$W$7,4,IF(H77/E77&gt;=$W$8,5,6)))))</f>
        <v/>
      </c>
      <c r="J77" s="199" t="n">
        <v>5276.299999999999</v>
      </c>
      <c r="K77" s="241">
        <f>J77/D77</f>
        <v/>
      </c>
      <c r="L77" s="241" t="n">
        <v>83.19416547106647</v>
      </c>
      <c r="M77" s="100">
        <f>IF(K77&lt;=$U$4,"A",IF(K77&lt;=$U$5,"B",IF(K77&lt;=$U$6,"C",IF(K77&lt;=$U$7,"D",IF(K77&lt;=$U$8,"E","F")))))&amp;IF(L77/E77&gt;=$W$4,1,IF(L77/E77&gt;=$W$5,2,IF(L77/E77&gt;=$W$6,3,IF(L77/E77&gt;=$W$7,4,IF(L77/E77&gt;=$W$8,5,6)))))</f>
        <v/>
      </c>
      <c r="N77" s="208" t="n"/>
      <c r="O77" s="201" t="n">
        <v>3</v>
      </c>
      <c r="P77" s="201" t="inlineStr">
        <is>
          <t>Y</t>
        </is>
      </c>
      <c r="Q77" s="201">
        <f t="array" ref="Q77">OFFSET(INDIRECT(ADDRESS(MATCH(O77&amp;P77,$AB$1:$AB$56,0),COLUMN($AB$3))),MATCH($E77,$AC$3:$AC$12,-1),14)</f>
        <v/>
      </c>
      <c r="R77" s="214" t="inlineStr">
        <is>
          <t>VD-N2-E-12.540-M-RS</t>
        </is>
      </c>
      <c r="S77" s="214" t="inlineStr">
        <is>
          <t>15k+120~大湳東出匝道(匝道0k+070)</t>
        </is>
      </c>
    </row>
    <row r="78">
      <c r="A78" s="203" t="n"/>
      <c r="B78" s="242" t="inlineStr">
        <is>
          <t>大湳交流道-南桃園交流道</t>
        </is>
      </c>
      <c r="C78" s="206" t="inlineStr">
        <is>
          <t>往西</t>
        </is>
      </c>
      <c r="D78" s="206">
        <f>Q78*(O78+IF(P78="Y",1,0))+N78</f>
        <v/>
      </c>
      <c r="E78" s="206" t="n">
        <v>100</v>
      </c>
      <c r="F78" s="206" t="n">
        <v>6736.7</v>
      </c>
      <c r="G78" s="243">
        <f>F78/D78</f>
        <v/>
      </c>
      <c r="H78" s="243" t="n">
        <v>82.07114549915079</v>
      </c>
      <c r="I78" s="127">
        <f>IF(G78&lt;=$U$4,"A",IF(G78&lt;=$U$5,"B",IF(G78&lt;=$U$6,"C",IF(G78&lt;=$U$7,"D",IF(G78&lt;=$U$8,"E","F")))))&amp;IF(H78/E78&gt;=$W$4,1,IF(H78/E78&gt;=$W$5,2,IF(H78/E78&gt;=$W$6,3,IF(H78/E78&gt;=$W$7,4,IF(H78/E78&gt;=$W$8,5,6)))))</f>
        <v/>
      </c>
      <c r="J78" s="206" t="n">
        <v>4301.299999999999</v>
      </c>
      <c r="K78" s="243">
        <f>J78/D78</f>
        <v/>
      </c>
      <c r="L78" s="243" t="n">
        <v>68.478349317059</v>
      </c>
      <c r="M78" s="127">
        <f>IF(K78&lt;=$U$4,"A",IF(K78&lt;=$U$5,"B",IF(K78&lt;=$U$6,"C",IF(K78&lt;=$U$7,"D",IF(K78&lt;=$U$8,"E","F")))))&amp;IF(L78/E78&gt;=$W$4,1,IF(L78/E78&gt;=$W$5,2,IF(L78/E78&gt;=$W$6,3,IF(L78/E78&gt;=$W$7,4,IF(L78/E78&gt;=$W$8,5,6)))))</f>
        <v/>
      </c>
      <c r="N78" s="208" t="n"/>
      <c r="O78" s="201" t="n">
        <v>3</v>
      </c>
      <c r="P78" s="201" t="inlineStr">
        <is>
          <t>Y</t>
        </is>
      </c>
      <c r="Q78" s="201">
        <f t="array" ref="Q78">OFFSET(INDIRECT(ADDRESS(MATCH(O78&amp;P78,$AB$1:$AB$56,0),COLUMN($AB$3))),MATCH($E78,$AC$3:$AC$12,-1),14)</f>
        <v/>
      </c>
      <c r="R78" s="214" t="inlineStr">
        <is>
          <t>VD-N2-W-12.540-M-RS</t>
        </is>
      </c>
      <c r="S78" s="214" t="inlineStr">
        <is>
          <t>14k+600~南桃園西出匝道(匝道0k+139)</t>
        </is>
      </c>
    </row>
    <row r="79">
      <c r="A79" s="203" t="n"/>
      <c r="B79" s="240" t="inlineStr">
        <is>
          <t>大湳交流道-鶯歌系統交流道</t>
        </is>
      </c>
      <c r="C79" s="199" t="inlineStr">
        <is>
          <t>往東</t>
        </is>
      </c>
      <c r="D79" s="199">
        <f>Q79*(O79+IF(P79="Y",1,0))+N79</f>
        <v/>
      </c>
      <c r="E79" s="199" t="n">
        <v>100</v>
      </c>
      <c r="F79" s="199" t="n">
        <v>5426.699999999999</v>
      </c>
      <c r="G79" s="241">
        <f>F79/D79</f>
        <v/>
      </c>
      <c r="H79" s="241" t="n">
        <v>55.60540019286403</v>
      </c>
      <c r="I79" s="100">
        <f>IF(G79&lt;=$U$4,"A",IF(G79&lt;=$U$5,"B",IF(G79&lt;=$U$6,"C",IF(G79&lt;=$U$7,"D",IF(G79&lt;=$U$8,"E","F")))))&amp;IF(H79/E79&gt;=$W$4,1,IF(H79/E79&gt;=$W$5,2,IF(H79/E79&gt;=$W$6,3,IF(H79/E79&gt;=$W$7,4,IF(H79/E79&gt;=$W$8,5,6)))))</f>
        <v/>
      </c>
      <c r="J79" s="199" t="n">
        <v>3461.3</v>
      </c>
      <c r="K79" s="241">
        <f>J79/D79</f>
        <v/>
      </c>
      <c r="L79" s="241" t="n">
        <v>32.38624019312009</v>
      </c>
      <c r="M79" s="100">
        <f>IF(K79&lt;=$U$4,"A",IF(K79&lt;=$U$5,"B",IF(K79&lt;=$U$6,"C",IF(K79&lt;=$U$7,"D",IF(K79&lt;=$U$8,"E","F")))))&amp;IF(L79/E79&gt;=$W$4,1,IF(L79/E79&gt;=$W$5,2,IF(L79/E79&gt;=$W$6,3,IF(L79/E79&gt;=$W$7,4,IF(L79/E79&gt;=$W$8,5,6)))))</f>
        <v/>
      </c>
      <c r="N79" s="208" t="n"/>
      <c r="O79" s="201" t="n">
        <v>3</v>
      </c>
      <c r="P79" s="201" t="inlineStr">
        <is>
          <t>Y</t>
        </is>
      </c>
      <c r="Q79" s="201">
        <f t="array" ref="Q79">OFFSET(INDIRECT(ADDRESS(MATCH(O79&amp;P79,$AB$1:$AB$56,0),COLUMN($AB$3))),MATCH($E79,$AC$3:$AC$12,-1),14)</f>
        <v/>
      </c>
      <c r="R79" s="214" t="inlineStr">
        <is>
          <t>VD-N2-E-19.610-M-LOOP</t>
        </is>
      </c>
      <c r="S79" s="214" t="inlineStr">
        <is>
          <t>大湳交流道(19k+250)~鶯歌系統(匝道0k+253)</t>
        </is>
      </c>
    </row>
    <row r="80">
      <c r="A80" s="196" t="n"/>
      <c r="B80" s="242" t="inlineStr">
        <is>
          <t>鶯歌系統交流道-大湳交流道</t>
        </is>
      </c>
      <c r="C80" s="206" t="inlineStr">
        <is>
          <t>往西</t>
        </is>
      </c>
      <c r="D80" s="206">
        <f>Q80*(O80+IF(P80="Y",1,0))+N80</f>
        <v/>
      </c>
      <c r="E80" s="206" t="n">
        <v>100</v>
      </c>
      <c r="F80" s="206" t="n">
        <v>5915.500000000001</v>
      </c>
      <c r="G80" s="243">
        <f>F80/D80</f>
        <v/>
      </c>
      <c r="H80" s="243" t="n">
        <v>80.94565217391305</v>
      </c>
      <c r="I80" s="127">
        <f>IF(G80&lt;=$U$4,"A",IF(G80&lt;=$U$5,"B",IF(G80&lt;=$U$6,"C",IF(G80&lt;=$U$7,"D",IF(G80&lt;=$U$8,"E","F")))))&amp;IF(H80/E80&gt;=$W$4,1,IF(H80/E80&gt;=$W$5,2,IF(H80/E80&gt;=$W$6,3,IF(H80/E80&gt;=$W$7,4,IF(H80/E80&gt;=$W$8,5,6)))))</f>
        <v/>
      </c>
      <c r="J80" s="206" t="n">
        <v>4947.9</v>
      </c>
      <c r="K80" s="243">
        <f>J80/D80</f>
        <v/>
      </c>
      <c r="L80" s="243" t="n">
        <v>83.06578042631217</v>
      </c>
      <c r="M80" s="127">
        <f>IF(K80&lt;=$U$4,"A",IF(K80&lt;=$U$5,"B",IF(K80&lt;=$U$6,"C",IF(K80&lt;=$U$7,"D",IF(K80&lt;=$U$8,"E","F")))))&amp;IF(L80/E80&gt;=$W$4,1,IF(L80/E80&gt;=$W$5,2,IF(L80/E80&gt;=$W$6,3,IF(L80/E80&gt;=$W$7,4,IF(L80/E80&gt;=$W$8,5,6)))))</f>
        <v/>
      </c>
      <c r="N80" s="208" t="n"/>
      <c r="O80" s="201" t="n">
        <v>3</v>
      </c>
      <c r="P80" s="201" t="inlineStr">
        <is>
          <t>Y</t>
        </is>
      </c>
      <c r="Q80" s="201">
        <f t="array" ref="Q80">OFFSET(INDIRECT(ADDRESS(MATCH(O80&amp;P80,$AB$1:$AB$56,0),COLUMN($AB$3))),MATCH($E80,$AC$3:$AC$12,-1),14)</f>
        <v/>
      </c>
      <c r="R80" s="214" t="inlineStr">
        <is>
          <t>VD-N2-W-19.310-M-LOOP</t>
        </is>
      </c>
      <c r="S80" s="214" t="inlineStr">
        <is>
          <t>鶯歌系統西入匝道(0k+700)~大湳西出匝道(0k+160)</t>
        </is>
      </c>
    </row>
    <row r="81">
      <c r="P81" s="208" t="n"/>
      <c r="Q81" s="208" t="n"/>
    </row>
    <row r="82">
      <c r="P82" s="208" t="n"/>
      <c r="Q82" s="208" t="n"/>
    </row>
    <row r="83">
      <c r="P83" s="208" t="n"/>
      <c r="Q83" s="208" t="n"/>
    </row>
    <row r="84">
      <c r="P84" s="208" t="n"/>
      <c r="Q84" s="208" t="n"/>
    </row>
    <row r="85">
      <c r="P85" s="208" t="n"/>
      <c r="Q85" s="208" t="n"/>
    </row>
    <row r="86">
      <c r="P86" s="208" t="n"/>
      <c r="Q86" s="208" t="n"/>
    </row>
    <row r="87">
      <c r="P87" s="208" t="n"/>
      <c r="Q87" s="208" t="n"/>
    </row>
    <row r="88">
      <c r="P88" s="208" t="n"/>
      <c r="Q88" s="208" t="n"/>
    </row>
    <row r="89">
      <c r="P89" s="208" t="n"/>
      <c r="Q89" s="208" t="n"/>
    </row>
    <row r="90">
      <c r="P90" s="208" t="n"/>
      <c r="Q90" s="208" t="n"/>
    </row>
    <row r="91">
      <c r="P91" s="208" t="n"/>
      <c r="Q91" s="208" t="n"/>
    </row>
    <row r="92">
      <c r="P92" s="208" t="n"/>
      <c r="Q92" s="208" t="n"/>
    </row>
    <row r="93">
      <c r="P93" s="208" t="n"/>
      <c r="Q93" s="208" t="n"/>
    </row>
    <row r="94">
      <c r="P94" s="208" t="n"/>
      <c r="Q94" s="208" t="n"/>
    </row>
    <row r="95">
      <c r="P95" s="208" t="n"/>
      <c r="Q95" s="208" t="n"/>
    </row>
    <row r="96">
      <c r="P96" s="208" t="n"/>
      <c r="Q96" s="208" t="n"/>
    </row>
    <row r="97">
      <c r="P97" s="208" t="n"/>
      <c r="Q97" s="208" t="n"/>
    </row>
    <row r="98">
      <c r="P98" s="208" t="n"/>
      <c r="Q98" s="208" t="n"/>
    </row>
    <row r="99">
      <c r="P99" s="208" t="n"/>
      <c r="Q99" s="208" t="n"/>
    </row>
    <row r="100">
      <c r="P100" s="208" t="n"/>
      <c r="Q100" s="208" t="n"/>
    </row>
    <row r="101">
      <c r="A101" s="208" t="n"/>
      <c r="B101" s="208" t="n"/>
      <c r="C101" s="208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</row>
    <row r="102">
      <c r="A102" s="208" t="n"/>
      <c r="B102" s="208" t="n"/>
      <c r="C102" s="208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</row>
  </sheetData>
  <mergeCells count="16">
    <mergeCell ref="A23:A40"/>
    <mergeCell ref="AF15:AN15"/>
    <mergeCell ref="AF37:AN37"/>
    <mergeCell ref="A43:A66"/>
    <mergeCell ref="F1:I1"/>
    <mergeCell ref="AF48:AN48"/>
    <mergeCell ref="A3:A20"/>
    <mergeCell ref="C1:C2"/>
    <mergeCell ref="A69:A80"/>
    <mergeCell ref="B1:B2"/>
    <mergeCell ref="D1:D2"/>
    <mergeCell ref="E1:E2"/>
    <mergeCell ref="AF26:AN26"/>
    <mergeCell ref="AF4:AN4"/>
    <mergeCell ref="J1:M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凱惇 張</dc:creator>
  <dcterms:created xmlns:dcterms="http://purl.org/dc/terms/" xmlns:xsi="http://www.w3.org/2001/XMLSchema-instance" xsi:type="dcterms:W3CDTF">2024-12-02T07:02:43Z</dcterms:created>
  <dcterms:modified xmlns:dcterms="http://purl.org/dc/terms/" xmlns:xsi="http://www.w3.org/2001/XMLSchema-instance" xsi:type="dcterms:W3CDTF">2026-07-20T07:31:49Z</dcterms:modified>
  <cp:lastModifiedBy>凱惇 張</cp:lastModifiedBy>
  <cp:lastPrinted>2025-10-08T06:47:11Z</cp:lastPrinted>
</cp:coreProperties>
</file>